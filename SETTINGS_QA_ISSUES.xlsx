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ssues" sheetId="2" state="visible" r:id="rId4"/>
  </sheets>
  <definedNames>
    <definedName function="false" hidden="true" localSheetId="1" name="_xlnm._FilterDatabase" vbProcedure="false">Issues!$A$1:$J$100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<sst xmlns="http://schemas.openxmlformats.org/spreadsheetml/2006/main" count="933" uniqueCount="522">
  <si>
    <t xml:space="preserve">Settings QA — Summary</t>
  </si>
  <si>
    <t xml:space="preserve">Generated</t>
  </si>
  <si>
    <t xml:space="preserve">2026-05-03 04:47</t>
  </si>
  <si>
    <t xml:space="preserve">Total findings</t>
  </si>
  <si>
    <t xml:space="preserve">Critical</t>
  </si>
  <si>
    <t xml:space="preserve">High</t>
  </si>
  <si>
    <t xml:space="preserve">Medium</t>
  </si>
  <si>
    <t xml:space="preserve">Low</t>
  </si>
  <si>
    <t xml:space="preserve">Findings by area</t>
  </si>
  <si>
    <t xml:space="preserve">Findings by source</t>
  </si>
  <si>
    <t xml:space="preserve">academic-calendar</t>
  </si>
  <si>
    <t xml:space="preserve">CODE_REVIEW</t>
  </si>
  <si>
    <t xml:space="preserve">activity-log</t>
  </si>
  <si>
    <t xml:space="preserve">LIVE_TEST</t>
  </si>
  <si>
    <t xml:space="preserve">add-ons</t>
  </si>
  <si>
    <t xml:space="preserve">UX_AUDIT</t>
  </si>
  <si>
    <t xml:space="preserve">approval</t>
  </si>
  <si>
    <t xml:space="preserve">audit-logs</t>
  </si>
  <si>
    <t xml:space="preserve">billing</t>
  </si>
  <si>
    <t xml:space="preserve">campus</t>
  </si>
  <si>
    <t xml:space="preserve">compliance</t>
  </si>
  <si>
    <t xml:space="preserve">cross-cutting</t>
  </si>
  <si>
    <t xml:space="preserve">How to use</t>
  </si>
  <si>
    <t xml:space="preserve">1. Switch to the Issues tab — it's pre-filtered and sorted by severity.</t>
  </si>
  <si>
    <t xml:space="preserve">2. Use the dropdown arrows on each column header to filter (e.g. only Critical, only Members area).</t>
  </si>
  <si>
    <t xml:space="preserve">3. The 'File' column tells you exactly which file the issue is in. The 'Line' column gives the line number.</t>
  </si>
  <si>
    <t xml:space="preserve">4. Severity colors: red=critical (security/data-loss), orange=high (broken/silent failure), yellow=medium (UX papercut), blue=low (polish).</t>
  </si>
  <si>
    <t xml:space="preserve">profile</t>
  </si>
  <si>
    <t xml:space="preserve">school-info</t>
  </si>
  <si>
    <t xml:space="preserve">schools</t>
  </si>
  <si>
    <t xml:space="preserve">security</t>
  </si>
  <si>
    <t xml:space="preserve">ticket-routing</t>
  </si>
  <si>
    <t xml:space="preserve">ID</t>
  </si>
  <si>
    <t xml:space="preserve">Severity</t>
  </si>
  <si>
    <t xml:space="preserve">Area</t>
  </si>
  <si>
    <t xml:space="preserve">Type</t>
  </si>
  <si>
    <t xml:space="preserve">Source</t>
  </si>
  <si>
    <t xml:space="preserve">Title</t>
  </si>
  <si>
    <t xml:space="preserve">Issue</t>
  </si>
  <si>
    <t xml:space="preserve">Suggested fix</t>
  </si>
  <si>
    <t xml:space="preserve">File</t>
  </si>
  <si>
    <t xml:space="preserve">Line</t>
  </si>
  <si>
    <t xml:space="preserve">CR-001</t>
  </si>
  <si>
    <t xml:space="preserve">CRITICAL</t>
  </si>
  <si>
    <t xml:space="preserve">multi-tenancy</t>
  </si>
  <si>
    <t xml:space="preserve">updateApprovalRule has no org-scope check</t>
  </si>
  <si>
    <t xml:space="preserve">updateApprovalRule(id, input) calls rawPrisma.approvalRule.update({ where:{id} }). ApprovalRule is not in the org-scoped Prisma extension, so an admin in org A can mutate any approval rule in org B by guessing its id.</t>
  </si>
  <si>
    <t xml:space="preserve">Use prisma.approvalRule.updateMany({ where:{id, organizationId: getOrgContextId()}, data: input }) and assert count===1, OR findFirst-then-update.</t>
  </si>
  <si>
    <t xml:space="preserve">src/lib/services/approvalRuleService.ts</t>
  </si>
  <si>
    <t xml:space="preserve">CR-002</t>
  </si>
  <si>
    <t xml:space="preserve">deleteApprovalRule has no org-scope check</t>
  </si>
  <si>
    <t xml:space="preserve">rawPrisma.approvalRule.delete({where:{id}}) — same vector as CR-001. Cross-tenant rule deletion possible.</t>
  </si>
  <si>
    <t xml:space="preserve">rawPrisma.approvalRule.deleteMany({ where:{id, organizationId: getOrgContextId()} }) and assert count===1.</t>
  </si>
  <si>
    <t xml:space="preserve">CR-003</t>
  </si>
  <si>
    <t xml:space="preserve">updateStep / removeStep on ApprovalFlowEntry are unscoped</t>
  </si>
  <si>
    <t xml:space="preserve">updateStep and removeStep use rawPrisma.approvalFlowEntry.update/delete({where:{id}}). Bypasses the org-scoped extension; cross-tenant step manipulation possible.</t>
  </si>
  <si>
    <t xml:space="preserve">Use the org-scoped prisma client (which auto-injects organizationId), or add organizationId: getOrgContextId() to every where clause.</t>
  </si>
  <si>
    <t xml:space="preserve">CR-004</t>
  </si>
  <si>
    <t xml:space="preserve">addStepToRule does not verify ruleId belongs to caller's org</t>
  </si>
  <si>
    <t xml:space="preserve">addStepToRule({ruleId, ...}) blindly creates a flow entry with the supplied ruleId. Combined with CR-001 a caller in org A can attach steps to a rule in org B, planting team-membership references on the wrong tenant.</t>
  </si>
  <si>
    <t xml:space="preserve">Before creating, verify rule with rawPrisma.approvalRule.findFirst({where:{id:ruleId, organizationId: getOrgContextId()}}). 404 if missing. Also verify supplied teamId belongs to caller's org.</t>
  </si>
  <si>
    <t xml:space="preserve">UX-021</t>
  </si>
  <si>
    <t xml:space="preserve">HIGH</t>
  </si>
  <si>
    <t xml:space="preserve">dead-end</t>
  </si>
  <si>
    <t xml:space="preserve">'Enable for entire organization' button passes wrong arg in modal</t>
  </si>
  <si>
    <t xml:space="preserve">When activeCampuses is empty, the button calls onToggle(mod.id, false) (currentlyEnabled=false meaning 'enable now') for what is actually a campus-scoped module. Modal closes; if API rejects org-level enable for a campus-scoped feature, no error is shown.</t>
  </si>
  <si>
    <t xml:space="preserve">Disable the button when no campuses exist and show 'Add a campus first', or surface API errors back into the modal before closing it.</t>
  </si>
  <si>
    <t xml:space="preserve">src/components/settings/AddOnsTab.tsx</t>
  </si>
  <si>
    <t xml:space="preserve">UX-007</t>
  </si>
  <si>
    <t xml:space="preserve">confirm</t>
  </si>
  <si>
    <t xml:space="preserve">Approval rule deletion has no confirm step</t>
  </si>
  <si>
    <t xml:space="preserve">deleteRule(id) immediately fires DELETE — the delete button wipes a workflow rule with no confirmation. Steps and routing config are lost.</t>
  </si>
  <si>
    <t xml:space="preserve">Add ConfirmDialog. For default catch-all rules, also warn that downstream events will fall through to the next matching rule.</t>
  </si>
  <si>
    <t xml:space="preserve">src/components/settings/ApprovalRulesBuilder.tsx</t>
  </si>
  <si>
    <t xml:space="preserve">UX-023</t>
  </si>
  <si>
    <t xml:space="preserve">responsive</t>
  </si>
  <si>
    <t xml:space="preserve">Approval-rules builder uses a fixed 384px sidebar at all viewports</t>
  </si>
  <si>
    <t xml:space="preserve">Two-column builder with w-96 flex-shrink-0 left panel and a flex-1 right panel. Below ~768px the right panel collapses to nothing usable.</t>
  </si>
  <si>
    <t xml:space="preserve">Stack vertically below md breakpoint, or convert the left panel to a select dropdown on mobile.</t>
  </si>
  <si>
    <t xml:space="preserve">CR-009</t>
  </si>
  <si>
    <t xml:space="preserve">permission</t>
  </si>
  <si>
    <t xml:space="preserve">Audit logs readable by all members (SETTINGS_READ)</t>
  </si>
  <si>
    <t xml:space="preserve">Audit logs include other users' email addresses, IPs, and resource changes. Gated by SETTINGS_READ, which is granted to the MEMBER default role.</t>
  </si>
  <si>
    <t xml:space="preserve">Stricter permission — PERMISSIONS.ALL (super-admin) or introduce audit-logs:read granted only to admin roles.</t>
  </si>
  <si>
    <t xml:space="preserve">src/app/api/settings/audit-logs/route.ts</t>
  </si>
  <si>
    <t xml:space="preserve">UX-003</t>
  </si>
  <si>
    <t xml:space="preserve">error</t>
  </si>
  <si>
    <t xml:space="preserve">Reactivate subscription failure is invisible</t>
  </si>
  <si>
    <t xml:space="preserve">handleReactivate catch contains only '// noop — button will re-enable on error'. User clicks Reactivate, network fails, sees nothing.</t>
  </si>
  <si>
    <t xml:space="preserve">Set a reactivateError state and render it next to the button, mirroring how cancelError is displayed.</t>
  </si>
  <si>
    <t xml:space="preserve">src/components/settings/BillingTab.tsx</t>
  </si>
  <si>
    <t xml:space="preserve">UX-002</t>
  </si>
  <si>
    <t xml:space="preserve">DPA save and revoke swallow all errors</t>
  </si>
  <si>
    <t xml:space="preserve">handleDpaSave and handleDpaRevoke catch blocks contain only comments — '// Keep form open on failure'. Compliance attestation silently failing is an audit/legal risk.</t>
  </si>
  <si>
    <t xml:space="preserve">Add a toast or inline error banner; keep the form open AND show the error message so the user can retry.</t>
  </si>
  <si>
    <t xml:space="preserve">src/components/settings/SecuritySettingsSection.tsx</t>
  </si>
  <si>
    <t xml:space="preserve">LIVE-001</t>
  </si>
  <si>
    <t xml:space="preserve">Role 'name' accepts raw HTML/JS — stored XSS sink</t>
  </si>
  <si>
    <t xml:space="preserve">POST /api/settings/roles with name='&lt;img src=x onerror=alert(1)&gt;' returned 201 and stored the name verbatim. The slug got sanitized but the displayable name did not. React escapes by default in {role.name}, but any future use in emails, audit-log messages, exports, or dangerouslySetInnerHTML becomes a real stored-XSS vector.</t>
  </si>
  <si>
    <t xml:space="preserve">Sanitize / strip-tags name fields server-side before persisting. Apply across all user-supplied display strings (roles, teams, schools, principals, buildings, rules).</t>
  </si>
  <si>
    <t xml:space="preserve">(api accepts unsanitized input)</t>
  </si>
  <si>
    <t xml:space="preserve">LIVE-002</t>
  </si>
  <si>
    <t xml:space="preserve">perf</t>
  </si>
  <si>
    <t xml:space="preserve">32 API calls fire on initial Settings page load</t>
  </si>
  <si>
    <t xml:space="preserve">Single visit to /settings (Profile tab default) triggers 32 distinct API requests in network panel, including 5 calls to /api/auth/me and 3 calls to /api/auth/permissions, plus athletics/sports/teams/seasons/tournaments/games/practices/roster (none of which are settings-related but mount because of the dashboard layout).</t>
  </si>
  <si>
    <t xml:space="preserve">Add a request-de-duplication layer for /api/auth/me and /api/auth/permissions (TanStack Query suspense or a single auth hook that owns the fetch). Defer athletics/dashboard fetches until those routes are visited.</t>
  </si>
  <si>
    <t xml:space="preserve">src/app/settings/page.tsx + descendents</t>
  </si>
  <si>
    <t xml:space="preserve">LIVE-003</t>
  </si>
  <si>
    <t xml:space="preserve">a11y</t>
  </si>
  <si>
    <t xml:space="preserve">100+ hidden focusable elements per tab — tabs never unmount</t>
  </si>
  <si>
    <t xml:space="preserve">Counted with document.querySelectorAll('[hidden] button, [hidden] input, [aria-hidden=true] button, ...'): every settings tab shows 60–115 hidden focusable elements after a few tabs have been visited. Lazy-load mounts on first visit but never tears down. Headings from previously-visited tabs (Roles, Teams, Members, Facilities) all stay in the DOM.</t>
  </si>
  <si>
    <t xml:space="preserve">Either render only the active tab's component (and accept the extra mount cost on switch), or wrap inactive panels with the inert attribute so they're truly removed from focus + screen reader navigation.</t>
  </si>
  <si>
    <t xml:space="preserve">src/app/settings/page.tsx</t>
  </si>
  <si>
    <t xml:space="preserve">LIVE-004</t>
  </si>
  <si>
    <t xml:space="preserve">No live regions in Settings — screen readers get no save/error announcements</t>
  </si>
  <si>
    <t xml:space="preserve">document.querySelectorAll('[aria-live],[role=status],[role=alert]') = 0 on every Settings tab. Toast notifications likely render outside any aria-live container, so screen reader users hear nothing when actions succeed or fail.</t>
  </si>
  <si>
    <t xml:space="preserve">Wrap the global toast container in an aria-live='polite' region (and aria-live='assertive' for error toasts). Add inline status regions next to forms for save success/error.</t>
  </si>
  <si>
    <t xml:space="preserve">src/app/settings/page.tsx + ChildComponents</t>
  </si>
  <si>
    <t xml:space="preserve">UX-005</t>
  </si>
  <si>
    <t xml:space="preserve">integrations</t>
  </si>
  <si>
    <t xml:space="preserve">Removing Twilio config has no confirmation</t>
  </si>
  <si>
    <t xml:space="preserve">'Remove' button calls handleRemove() directly with no ConfirmDialog. Removing Twilio destroys SMS credentials and silently breaks every notification flow that depends on it.</t>
  </si>
  <si>
    <t xml:space="preserve">Wrap with a ConfirmDialog ('Remove Twilio configuration? Outbound SMS will stop immediately.').</t>
  </si>
  <si>
    <t xml:space="preserve">src/components/settings/integrations/TwilioCard.tsx</t>
  </si>
  <si>
    <t xml:space="preserve">UX-006</t>
  </si>
  <si>
    <t xml:space="preserve">Calendar Disconnect (Google/Microsoft/Planning Center) has no confirmation</t>
  </si>
  <si>
    <t xml:space="preserve">Disconnect buttons in GoogleCalendarCard, MicrosoftCalendarCard, and PlanningCenterCard all execute the destructive call immediately. OAuth tokens are wiped + saved calendar selections lost.</t>
  </si>
  <si>
    <t xml:space="preserve">Add a ConfirmDialog with consequences ('You'll need to reauthorize to reconnect. Saved calendars will be lost.').</t>
  </si>
  <si>
    <t xml:space="preserve">src/components/settings/integrations/GoogleCalendarCard.tsx</t>
  </si>
  <si>
    <t xml:space="preserve">CR-010</t>
  </si>
  <si>
    <t xml:space="preserve">members</t>
  </si>
  <si>
    <t xml:space="preserve">validation</t>
  </si>
  <si>
    <t xml:space="preserve">Users POST has no Zod schema; weak hand-rolled validation</t>
  </si>
  <si>
    <t xml:space="preserve">No email-format validation (only truthy-check). teamIds array values not verified to belong to caller's org before user creation.</t>
  </si>
  <si>
    <t xml:space="preserve">Build a Zod schema (z.string().email(), enums for status/employmentType/campusScope/provisioningMode) via withAuth's schema option. Verify teamIds with prisma.team.findMany({where:{id:{in:teamIds}, organizationId:orgId}}) count check.</t>
  </si>
  <si>
    <t xml:space="preserve">src/app/api/settings/users/route.ts</t>
  </si>
  <si>
    <t xml:space="preserve">CR-005</t>
  </si>
  <si>
    <t xml:space="preserve">principals</t>
  </si>
  <si>
    <t xml:space="preserve">auth</t>
  </si>
  <si>
    <t xml:space="preserve">Principal POST creates User with empty passwordHash + no setup token</t>
  </si>
  <si>
    <t xml:space="preserve">POST creates a User row with passwordHash:'' and status:ACTIVE. Login is blocked for empty hashes, but no setup token / welcome email is generated; the org is left with a half-provisioned user. Any future SSO/OAuth/passkey path that bypasses passwordHash would log the user in.</t>
  </si>
  <si>
    <t xml:space="preserve">Use the same flow as POST /api/settings/users — generate a setup token, send the welcome email, default status to PENDING, drop the empty passwordHash.</t>
  </si>
  <si>
    <t xml:space="preserve">src/app/api/settings/principals/route.ts</t>
  </si>
  <si>
    <t xml:space="preserve">CR-006</t>
  </si>
  <si>
    <t xml:space="preserve">Principals search exposes PII to all org members (SETTINGS_READ)</t>
  </si>
  <si>
    <t xml:space="preserve">GET /api/settings/principals?q= is gated by SETTINGS_READ which is granted to MEMBER (default role). Returns id, firstName, lastName, email, phone, jobTitle for up to 15 matches. Any active org member can scrape staff contact info.</t>
  </si>
  <si>
    <t xml:space="preserve">Gate with PERMISSIONS.USERS_READ (admin only), or if regular members truly need this, return only id+name with no email/phone.</t>
  </si>
  <si>
    <t xml:space="preserve">CR-007</t>
  </si>
  <si>
    <t xml:space="preserve">Principals POST/PATCH have no Zod schema</t>
  </si>
  <si>
    <t xml:space="preserve">Inputs hand-pulled from body.name/phone/phoneExt with no schema. Inconsistent with the rest of the settings surface; weakens defense.</t>
  </si>
  <si>
    <t xml:space="preserve">Add a Zod schema and pass via the schema option of withAuth().</t>
  </si>
  <si>
    <t xml:space="preserve">CR-008</t>
  </si>
  <si>
    <t xml:space="preserve">Principal POST silently picks an arbitrary role (first one returned)</t>
  </si>
  <si>
    <t xml:space="preserve">prisma.role.findMany({take:1}) with no orderBy. The first role returned (often super-admin since system roles seed first) becomes the principal's role.</t>
  </si>
  <si>
    <t xml:space="preserve">Resolve a specific safe role by slug (member or a dedicated principal role). Never pick the arbitrary first row.</t>
  </si>
  <si>
    <t xml:space="preserve">UX-032</t>
  </si>
  <si>
    <t xml:space="preserve">Avatar Remove has no confirmation; sits next to Change Image</t>
  </si>
  <si>
    <t xml:space="preserve">handleRemoveAvatar immediately PATCHes avatar=null. Reversible by re-uploading, but the Remove button is right next to Change Image with no distinguishing color or confirmation.</t>
  </si>
  <si>
    <t xml:space="preserve">Make Remove visually destructive (red text/icon), or add a quick confirm popover.</t>
  </si>
  <si>
    <t xml:space="preserve">src/app/settings/ProfileTab.tsx</t>
  </si>
  <si>
    <t xml:space="preserve">UX-029</t>
  </si>
  <si>
    <t xml:space="preserve">onboarding</t>
  </si>
  <si>
    <t xml:space="preserve">Auto-creates 'Main Campus' silently when no campuses exist</t>
  </si>
  <si>
    <t xml:space="preserve">On mount, if the org has no campuses, the resolveOrCreateCampus effect silently POSTs a 'Main Campus' record. Catch is /* silent */. User has no idea a campus was just created.</t>
  </si>
  <si>
    <t xml:space="preserve">Either gate behind a visible onboarding step ('We've added a default Main Campus — rename or add more in Facilities'), or move auto-creation into org signup so it happens once with feedback.</t>
  </si>
  <si>
    <t xml:space="preserve">src/components/settings/SchoolsManagement.tsx</t>
  </si>
  <si>
    <t xml:space="preserve">UX-001</t>
  </si>
  <si>
    <t xml:space="preserve">MFA toggle silently fails on error</t>
  </si>
  <si>
    <t xml:space="preserve">handleMfaToggle catch is just '// Revert on failure' — no revert and no user-facing error. Admin sets a security policy thinking it saved when it didn't.</t>
  </si>
  <si>
    <t xml:space="preserve">Show a toast on failure, revert mfaRequired to its prior value, surface the API error message.</t>
  </si>
  <si>
    <t xml:space="preserve">CR-011</t>
  </si>
  <si>
    <t xml:space="preserve">Routing POST does not verify managerUserId/schoolId belong to the org</t>
  </si>
  <si>
    <t xml:space="preserve">Caller-supplied managerUserId and schoolId written straight to ModuleRoutingConfig with no cross-org check.</t>
  </si>
  <si>
    <t xml:space="preserve">Verify both via prisma.user.findFirst / prisma.school.findFirst against current org. 400 if missing.</t>
  </si>
  <si>
    <t xml:space="preserve">src/app/api/settings/ticket-routing/route.ts</t>
  </si>
  <si>
    <t xml:space="preserve">UX-010</t>
  </si>
  <si>
    <t xml:space="preserve">MEDIUM</t>
  </si>
  <si>
    <t xml:space="preserve">Bell schedule edit/delete actions are hover-only</t>
  </si>
  <si>
    <t xml:space="preserve">Schedule Edit and Delete buttons live in a div with opacity-0 group-hover/sched:opacity-100. Touch users have no hover; keyboard-only users see actions only via :focus-within after tabbing in. Same pattern for period removal.</t>
  </si>
  <si>
    <t xml:space="preserve">Show actions at low opacity by default (e.g. opacity-60) with full opacity on hover/focus, OR move them into a persistent RowActionMenu overflow.</t>
  </si>
  <si>
    <t xml:space="preserve">src/components/settings/academic-calendar/BellScheduleSubTab.tsx</t>
  </si>
  <si>
    <t xml:space="preserve">UX-027</t>
  </si>
  <si>
    <t xml:space="preserve">Delete mutations have no onError handler</t>
  </si>
  <si>
    <t xml:space="preserve">deleteYear, deleteTerm, deleteSchedule, deleteSpecialDayMut only define onSuccess. If the API rejects (e.g., year has linked events), the user sees the dialog close with no feedback and the row still present.</t>
  </si>
  <si>
    <t xml:space="preserve">Add onError that toasts the API error message.</t>
  </si>
  <si>
    <t xml:space="preserve">src/components/settings/AcademicCalendarTab.tsx</t>
  </si>
  <si>
    <t xml:space="preserve">LIVE-008</t>
  </si>
  <si>
    <t xml:space="preserve">Activity Log date inputs missing labels</t>
  </si>
  <si>
    <t xml:space="preserve">Two date inputs in the Activity Log filter row have no &lt;label&gt;, aria-label, or aria-labelledby. Screen readers announce only 'date'.</t>
  </si>
  <si>
    <t xml:space="preserve">Add visible labels ('From', 'To') with htmlFor wiring, or aria-label='From date' / 'To date'.</t>
  </si>
  <si>
    <t xml:space="preserve">src/components/settings/AuditLogTab.tsx</t>
  </si>
  <si>
    <t xml:space="preserve">CR-014</t>
  </si>
  <si>
    <t xml:space="preserve">Approval flow POST/PUT do not verify teamId/assignedUserId belong to the org</t>
  </si>
  <si>
    <t xml:space="preserve">Schemas validate shape but the service writes supplied teamId and assignedUserId straight to DB. Org-scoped extension prevents row from being written under another org, but a caller can still attach an assignedUser from another org.</t>
  </si>
  <si>
    <t xml:space="preserve">Validate teamId and assignedUserId against caller's org via prisma.team.findFirst / prisma.user.findFirst before create/update.</t>
  </si>
  <si>
    <t xml:space="preserve">src/app/api/settings/approval-flow/route.ts</t>
  </si>
  <si>
    <t xml:space="preserve">UX-024</t>
  </si>
  <si>
    <t xml:space="preserve">form</t>
  </si>
  <si>
    <t xml:space="preserve">Rule name auto-overwritten while user is typing</t>
  </si>
  <si>
    <t xml:space="preserve">The school-condition onChange handler auto-rewrites the rule name to '&lt;schoolName&gt; Events' if the user hasn't yet set campus/category. This silently throws away whatever name the user typed if they later picked a school first.</t>
  </si>
  <si>
    <t xml:space="preserve">Only auto-name when the rule is brand new (e.g., name === 'New Rule'); never overwrite a user-typed name.</t>
  </si>
  <si>
    <t xml:space="preserve">UX-025</t>
  </si>
  <si>
    <t xml:space="preserve">loading</t>
  </si>
  <si>
    <t xml:space="preserve">Optimistic rule edits with no rollback on failure</t>
  </si>
  <si>
    <t xml:space="preserve">updateRule does optimistic cache update + background mutation; if mutation fails there's no rollback or visible error. Same pattern in TicketRoutingTab updateStrategy/updateCategory/updateStaffAvailability.</t>
  </si>
  <si>
    <t xml:space="preserve">On mutation onError, rollback the cache to prior snapshot and surface a toast 'Failed to save — your change was reverted'.</t>
  </si>
  <si>
    <t xml:space="preserve">UX-039</t>
  </si>
  <si>
    <t xml:space="preserve">empty-state</t>
  </si>
  <si>
    <t xml:space="preserve">Right panel shows nothing when no rule is selected</t>
  </si>
  <si>
    <t xml:space="preserve">Per CLAUDE.md ('No empty states that require user action to see data'), the right panel of the builder requires picking a rule first. No auto-selection of the first/default rule on load.</t>
  </si>
  <si>
    <t xml:space="preserve">Default selectedRuleId to the first rule (or default-catch-all) on first render.</t>
  </si>
  <si>
    <t xml:space="preserve">CR-018</t>
  </si>
  <si>
    <t xml:space="preserve">other</t>
  </si>
  <si>
    <t xml:space="preserve">AuditLogTab triggers fetch from inside the render body</t>
  </si>
  <si>
    <t xml:space="preserve">if (!fetched &amp;&amp; !loading) { fetchLogs(1); setInitialized(true) } runs during render. Side effects + setState during render are a React anti-pattern.</t>
  </si>
  <si>
    <t xml:space="preserve">Move the bootstrap fetch into a useEffect(() =&gt; { fetchLogs(1) }, []). The fetched flag is no longer needed.</t>
  </si>
  <si>
    <t xml:space="preserve">UX-011</t>
  </si>
  <si>
    <t xml:space="preserve">Initial fetch performed during render</t>
  </si>
  <si>
    <t xml:space="preserve">Calls fetchLogs(1) and setInitialized(true) inside the function body during render (not inside useEffect). Triggers a state update during render; can produce React warnings and re-runs on every render until fetched flips.</t>
  </si>
  <si>
    <t xml:space="preserve">Move the initial fetch into useEffect with [] deps; or use useQuery like the rest of the codebase does.</t>
  </si>
  <si>
    <t xml:space="preserve">UX-012</t>
  </si>
  <si>
    <t xml:space="preserve">copy</t>
  </si>
  <si>
    <t xml:space="preserve">Action filter dropdown shows raw machine codes</t>
  </si>
  <si>
    <t xml:space="preserve">ACTION_OPTIONS uses raw enum values like 'user.password-reset-complete' as labels. Users have to parse dotted, kebab-cased identifiers.</t>
  </si>
  <si>
    <t xml:space="preserve">Provide human labels (e.g., 'User · Login', 'Role · Created') while keeping the value as the API code. Group by resource.</t>
  </si>
  <si>
    <t xml:space="preserve">UX-013</t>
  </si>
  <si>
    <t xml:space="preserve">div with onClick used to lazy-load users for filter</t>
  </si>
  <si>
    <t xml:space="preserve">Wrapping div uses onClick={fetchUsers}/onFocus={fetchUsers}. Not focusable, no role, keyboard-only users can't trigger the load.</t>
  </si>
  <si>
    <t xml:space="preserve">Move the lazy-load trigger onto the FloatingDropdown's onFocus/onClick props, or fetch users on mount via useQuery.</t>
  </si>
  <si>
    <t xml:space="preserve">UX-028</t>
  </si>
  <si>
    <t xml:space="preserve">No virtualization on potentially large audit-log table</t>
  </si>
  <si>
    <t xml:space="preserve">Table renders every row in current page. With LIMIT=25 fine, but expand-row mounts AnimatePresence div for every row; no cap on changes object size — a single big diff will lock the row.</t>
  </si>
  <si>
    <t xml:space="preserve">Truncate ChangesDisplay values past N characters with a 'show full' link; consider react-virtual if page size is increased.</t>
  </si>
  <si>
    <t xml:space="preserve">CR-023</t>
  </si>
  <si>
    <t xml:space="preserve">error-handling</t>
  </si>
  <si>
    <t xml:space="preserve">Stripe error message returned to client verbatim</t>
  </si>
  <si>
    <t xml:space="preserve">On Stripe failure: fail('PAYMENT_ERROR', stripeError.message). Returns Stripe internal error strings (account ids, internal codes) to the client. Same in change-plan, portal, reactivate, organization/delete.</t>
  </si>
  <si>
    <t xml:space="preserve">Log Stripe error server-side; return generic message: fail('PAYMENT_ERROR', 'Failed to cancel subscription. Please try again or contact support.').</t>
  </si>
  <si>
    <t xml:space="preserve">src/app/api/settings/billing/cancel/route.ts</t>
  </si>
  <si>
    <t xml:space="preserve">UX-018</t>
  </si>
  <si>
    <t xml:space="preserve">Org-name confirmation input has no accessible label</t>
  </si>
  <si>
    <t xml:space="preserve">The 'Type organization name to confirm' input has only a placeholder, no &lt;label&gt; and no aria-label. Screen reader users hear 'edit text' with no purpose.</t>
  </si>
  <si>
    <t xml:space="preserve">Add &lt;label htmlFor="delete-org-confirm"&gt; or aria-label='Type organization name to confirm'.</t>
  </si>
  <si>
    <t xml:space="preserve">src/components/settings/billing/DangerZoneSection.tsx</t>
  </si>
  <si>
    <t xml:space="preserve">UX-019</t>
  </si>
  <si>
    <t xml:space="preserve">consistency</t>
  </si>
  <si>
    <t xml:space="preserve">Custom modal instead of shared ConfirmDialog</t>
  </si>
  <si>
    <t xml:space="preserve">DangerZone hand-rolls a modal with its own backdrop, focus management, and z-index, while the rest of settings uses ConfirmDialog with requireText='DELETE'. Visual style and keyboard behavior diverge.</t>
  </si>
  <si>
    <t xml:space="preserve">Replace with ConfirmDialog requireText={orgName} variant='danger'. Eliminates duplicated focus-trap and Escape-handling code.</t>
  </si>
  <si>
    <t xml:space="preserve">UX-020</t>
  </si>
  <si>
    <t xml:space="preserve">Stripe-not-configured detection conflates network errors</t>
  </si>
  <si>
    <t xml:space="preserve">catch sets stripeConfigured=false on ANY fetch failure, so a transient 500 or offline state shows 'Billing Not Configured — Contact your administrator' rather than a retry option.</t>
  </si>
  <si>
    <t xml:space="preserve">Only set stripeConfigured=false on the specific 'not yet configured'/SERVICE_UNAVAILABLE response codes; show generic error+retry on other failures.</t>
  </si>
  <si>
    <t xml:space="preserve">CR-015</t>
  </si>
  <si>
    <t xml:space="preserve">map-data PATCH has no Zod schema; no lat/lng bounds check</t>
  </si>
  <si>
    <t xml:space="preserve">Manual typeof number checks, but no min/max on lat (-90..90) / lng (-180..180). Garbage coordinates land on records.</t>
  </si>
  <si>
    <t xml:space="preserve">Wrap with a Zod schema (z.number().min(-90).max(90), etc.) via the schema option.</t>
  </si>
  <si>
    <t xml:space="preserve">src/app/api/settings/campus/map-data/route.ts</t>
  </si>
  <si>
    <t xml:space="preserve">LIVE-005</t>
  </si>
  <si>
    <t xml:space="preserve">data-integrity</t>
  </si>
  <si>
    <t xml:space="preserve">Campus / map-data disagree about building counts</t>
  </si>
  <si>
    <t xml:space="preserve">GET /api/settings/campus/buildings returns len=0 (no buildings) for the demo org, but GET /api/settings/campus/map-data returns 23 buildings. The tab and the map are sourced from different queries and don't agree. Also: 21 campuses defined but 0 rooms.</t>
  </si>
  <si>
    <t xml:space="preserve">Decide which source is authoritative. Have map-data join through the buildings list, or have buildings include map-only records. Reconcile the seed/migration to match.</t>
  </si>
  <si>
    <t xml:space="preserve">(data discrepancy)</t>
  </si>
  <si>
    <t xml:space="preserve">UX-046</t>
  </si>
  <si>
    <t xml:space="preserve">architecture</t>
  </si>
  <si>
    <t xml:space="preserve">SchoolsManagement mounted invisibly to hijack imperative API</t>
  </si>
  <si>
    <t xml:space="preserve">FacilitiesTab renders &lt;SchoolsManagement&gt; inside a hidden div purely to drive openNew via a ref. Double-mounts the component, runs duplicate effects (loadSchools, resolveOrCreateCampus), hard to reason about.</t>
  </si>
  <si>
    <t xml:space="preserve">Extract the school CRUD modals into a standalone &lt;SchoolDialogs/&gt; component that only renders the drawers, no fetch effects, accept data as props.</t>
  </si>
  <si>
    <t xml:space="preserve">src/components/settings/FacilitiesTab.tsx</t>
  </si>
  <si>
    <t xml:space="preserve">UX-045</t>
  </si>
  <si>
    <t xml:space="preserve">Remove DPA Record sits next to Save with no confirmation</t>
  </si>
  <si>
    <t xml:space="preserve">'Remove DPA Record' button placed inline with Save and Cancel and triggers handleDpaRevoke immediately. Revoking compliance attestation is significant and reversible only by re-recording.</t>
  </si>
  <si>
    <t xml:space="preserve">Add ConfirmDialog with copy explaining the consequence.</t>
  </si>
  <si>
    <t xml:space="preserve">CR-019</t>
  </si>
  <si>
    <t xml:space="preserve">Interactive $transaction on org-scoped Prisma client (multi-tenancy hazard)</t>
  </si>
  <si>
    <t xml:space="preserve">prisma.$transaction([...]) on the extended client. CLAUDE.md warns this can lose the extension on the inner tx and bypass org-scoping. Same pattern in roles/[id]/route.ts:97 and users/[id]/permissions/route.ts:150 affects org-scoped models like Role.</t>
  </si>
  <si>
    <t xml:space="preserve">Switch batch ops to rawPrisma.$transaction([...]) with explicit organizationId in every where. For sequential writes, drop the transaction inside runWithOrgContext.</t>
  </si>
  <si>
    <t xml:space="preserve">src/app/api/settings/users/[id]/route.ts</t>
  </si>
  <si>
    <t xml:space="preserve">LIVE-006</t>
  </si>
  <si>
    <t xml:space="preserve">'approval-config' tab is in VALID_TABS but not rendered in the nav</t>
  </si>
  <si>
    <t xml:space="preserve">settings-types.ts lists 'approval-config' in VALID_TABS, but the rendered settings nav has 11 buttons (Profile, School Information, Roles, Teams, Members, Facilities, Academic Calendar, Billing, Add-ons, Integrations, Activity Log) — Approval Config is missing. URL ?tab=approval-config is accepted but lands on a blank panel.</t>
  </si>
  <si>
    <t xml:space="preserve">Either add the Approval Config tab button to the workspace tab list, or remove 'approval-config' from VALID_TABS so the deep-link is rejected.</t>
  </si>
  <si>
    <t xml:space="preserve">src/app/settings/settings-types.ts vs src/app/settings/page.tsx</t>
  </si>
  <si>
    <t xml:space="preserve">LIVE-007</t>
  </si>
  <si>
    <t xml:space="preserve">Skeleton loaders only appear on Integrations and Activity Log</t>
  </si>
  <si>
    <t xml:space="preserve">CLAUDE.md UI rules require skeleton loading (animate-pulse) during data fetches. Audit found .animate-pulse on the Integrations and Activity Log tabs only. Other data-loading tabs (Members, Roles, Teams, Facilities) flash a brief blank state.</t>
  </si>
  <si>
    <t xml:space="preserve">Standardise: every tab that fetches on mount renders a skeleton matching the final layout shape until data resolves.</t>
  </si>
  <si>
    <t xml:space="preserve">(skeleton loading inconsistent)</t>
  </si>
  <si>
    <t xml:space="preserve">UX-036</t>
  </si>
  <si>
    <t xml:space="preserve">localStorage-based auth headers used inconsistently with cookie auth</t>
  </si>
  <si>
    <t xml:space="preserve">RolesTab, TeamsTab, MembersTab, AuditLogTab, BillingTab and several integration cards build auth headers from localStorage('auth-token'). useAuth + middleware moved to cookie-based auth. When cookie session is valid but localStorage token is missing/stale, calls 401 with no clear UI signal.</t>
  </si>
  <si>
    <t xml:space="preserve">Centralize via fetchApi/getAuthHeaders helpers from @/lib/api-client and remove direct localStorage reads.</t>
  </si>
  <si>
    <t xml:space="preserve">src/components/settings/RolesTab.tsx</t>
  </si>
  <si>
    <t xml:space="preserve">UX-048</t>
  </si>
  <si>
    <t xml:space="preserve">RolesTab and TeamsTab duplicate massive reassign-on-delete logic</t>
  </si>
  <si>
    <t xml:space="preserve">RolesTab (L286-379) and TeamsTab (L243-336) implement essentially the same flow: load assigned users, render bulk + per-user reassign dropdowns, gate the confirm button. ~150 lines duplicated almost verbatim.</t>
  </si>
  <si>
    <t xml:space="preserve">Extract &lt;ReassignBeforeDeleteDialog&gt; taking { entity, entityName, assignedUsers, options, onConfirm } as a shared component.</t>
  </si>
  <si>
    <t xml:space="preserve">CR-017</t>
  </si>
  <si>
    <t xml:space="preserve">EditMemberDrawer calls setState during render</t>
  </si>
  <si>
    <t xml:space="preserve">The component does prevUserId[1](user.id) and setEditForm(...) directly inside the render body whenever user.id changes. setState during render is a React rule violation that can produce 'Cannot update a component while rendering' warnings and infinite loops.</t>
  </si>
  <si>
    <t xml:space="preserve">Replace with a proper useEffect(() =&gt; {...sync form...}, [user?.id]).</t>
  </si>
  <si>
    <t xml:space="preserve">src/components/settings/members/EditMemberDrawer.tsx</t>
  </si>
  <si>
    <t xml:space="preserve">UX-014</t>
  </si>
  <si>
    <t xml:space="preserve">useState misused to derive form state during render</t>
  </si>
  <si>
    <t xml:space="preserve">useState(null) → setter called during render to sync editForm when user prop changes. Classic 'derived state' anti-pattern — fragile, fires extra renders, triggers React warnings.</t>
  </si>
  <si>
    <t xml:space="preserve">Use useEffect([user?.id]) to reset the form, or use the documented derive-during-render with prev-state-comparison pattern.</t>
  </si>
  <si>
    <t xml:space="preserve">UX-015</t>
  </si>
  <si>
    <t xml:space="preserve">Invite form silently no-ops when email is blank</t>
  </si>
  <si>
    <t xml:space="preserve">handleSubmit returns early on empty email with no setError. Disabled-button state hides the issue, but if the user removes the email after typing it, the form just does nothing on submit.</t>
  </si>
  <si>
    <t xml:space="preserve">Use HTML required + show inline 'Email required' message; or display setError('Email is required').</t>
  </si>
  <si>
    <t xml:space="preserve">src/components/settings/members/InviteMemberDrawer.tsx</t>
  </si>
  <si>
    <t xml:space="preserve">UX-050</t>
  </si>
  <si>
    <t xml:space="preserve">Remove Member confirm requires typing 'DELETE' (heavy for soft-delete)</t>
  </si>
  <si>
    <t xml:space="preserve">ConfirmDialog requires typing literal 'DELETE' for member removal. Members are soft-deleted and reversible by an admin via DB, so requiring DELETE-text feels heavy compared to actual destructiveness — and inconsistent with toggling member status which has no confirm.</t>
  </si>
  <si>
    <t xml:space="preserve">Drop requireText for member removal (keep variant='danger' + clear message). Reserve requireText for hard-destructive ops like Delete Organization.</t>
  </si>
  <si>
    <t xml:space="preserve">src/components/settings/members/MembersTab.tsx</t>
  </si>
  <si>
    <t xml:space="preserve">UX-004</t>
  </si>
  <si>
    <t xml:space="preserve">organization</t>
  </si>
  <si>
    <t xml:space="preserve">Event buffer save logs to console only</t>
  </si>
  <si>
    <t xml:space="preserve">Save handler only does console.error on failure and never calls setSaved(false) or surfaces the error. Admin assumes the buffer is saved when it isn't.</t>
  </si>
  <si>
    <t xml:space="preserve">Track an error state and render an inline message; or use the global toast pattern.</t>
  </si>
  <si>
    <t xml:space="preserve">src/components/settings/school-info/EventBufferSection.tsx</t>
  </si>
  <si>
    <t xml:space="preserve">UX-033</t>
  </si>
  <si>
    <t xml:space="preserve">Passkey Delete has no confirmation</t>
  </si>
  <si>
    <t xml:space="preserve">handleDeletePasskey is wired to the trash icon and runs immediately. Removing your last passkey when MFA is required can lock you out.</t>
  </si>
  <si>
    <t xml:space="preserve">Add ConfirmDialog ('Remove this passkey? You'll need another sign-in method to access your account.'). Block deletion of the last MFA method when org-level MFA is required.</t>
  </si>
  <si>
    <t xml:space="preserve">UX-034</t>
  </si>
  <si>
    <t xml:space="preserve">Passkey rename/delete buttons missing aria-label</t>
  </si>
  <si>
    <t xml:space="preserve">Icon-only buttons for Rename/Delete passkey use title= but no aria-label. Screen readers may or may not announce title; aria-label is the WAI-ARIA-recommended attribute.</t>
  </si>
  <si>
    <t xml:space="preserve">Add aria-label='Rename passkey' / 'Delete passkey'.</t>
  </si>
  <si>
    <t xml:space="preserve">LIVE-009</t>
  </si>
  <si>
    <t xml:space="preserve">School Info has unlabeled inputs and one unlabeled toggle switch</t>
  </si>
  <si>
    <t xml:space="preserve">The address autocomplete (placeholder='Start typing an address...') has no label. A button with role='switch' and aria-checked='false' has no accessible name. Screen reader users can't know what the toggle controls.</t>
  </si>
  <si>
    <t xml:space="preserve">Wrap inputs in &lt;label&gt;, add aria-label to the switch (e.g. aria-label='Enable Google Places autofill').</t>
  </si>
  <si>
    <t xml:space="preserve">src/components/settings/SchoolInfoTab.tsx</t>
  </si>
  <si>
    <t xml:space="preserve">LIVE-010</t>
  </si>
  <si>
    <t xml:space="preserve">Icon-only 'Remove image' buttons use title= instead of aria-label</t>
  </si>
  <si>
    <t xml:space="preserve">Two buttons with title='Remove image' have no aria-label. Screen readers may or may not announce title, and rely on aria-label per WAI-ARIA recommendations.</t>
  </si>
  <si>
    <t xml:space="preserve">Switch title to aria-label, or add aria-label alongside.</t>
  </si>
  <si>
    <t xml:space="preserve">(see snippet in finding)</t>
  </si>
  <si>
    <t xml:space="preserve">CR-020</t>
  </si>
  <si>
    <t xml:space="preserve">School lookup uses findUnique by id with post-hoc org check</t>
  </si>
  <si>
    <t xml:space="preserve">prisma.school.findUnique({where:{id}}) then check school.organizationId !== orgId. School IS auto-scoped so unique find returns null for cross-org ids, but the post-hoc check is dead code suggesting confusion. Inconsistent with buildings/rooms/spaces handlers that use findFirst.</t>
  </si>
  <si>
    <t xml:space="preserve">Use prisma.school.findFirst({where:{id, organizationId:orgId}}) consistently.</t>
  </si>
  <si>
    <t xml:space="preserve">src/app/api/settings/schools/[id]/route.ts</t>
  </si>
  <si>
    <t xml:space="preserve">CR-021</t>
  </si>
  <si>
    <t xml:space="preserve">GET /api/settings/schools?campusId=X is silently ignored by the route</t>
  </si>
  <si>
    <t xml:space="preserve">Component builds /api/settings/schools?campusId=${campusId} but the route only filters on organizationId. Per-campus facilities view shows ALL org schools instead of those assigned to that campus.</t>
  </si>
  <si>
    <t xml:space="preserve">Either implement campusId filtering in the route, or remove the unused param from the client.</t>
  </si>
  <si>
    <t xml:space="preserve">CR-022</t>
  </si>
  <si>
    <t xml:space="preserve">soft-delete</t>
  </si>
  <si>
    <t xml:space="preserve">School create silently hard-deletes any soft-deleted school with the same name</t>
  </si>
  <si>
    <t xml:space="preserve">POST does rawPrisma.school.deleteMany({where:{organizationId, name, deletedAt:{not:null}}}) to free up the unique constraint. Destructive op hidden behind a CREATE — orgs lose soft-deleted history when recreating same-named schools. Also bypasses audit logging.</t>
  </si>
  <si>
    <t xml:space="preserve">Either keep the unique constraint partial (where: { deletedAt: null }) via raw SQL, or rename the soft-deleted record (append deletedAt to name). At minimum, audit-log the destructive deletion.</t>
  </si>
  <si>
    <t xml:space="preserve">src/app/api/settings/schools/route.ts</t>
  </si>
  <si>
    <t xml:space="preserve">UX-030</t>
  </si>
  <si>
    <t xml:space="preserve">Imperative openEdit fallback silently fails</t>
  </si>
  <si>
    <t xml:space="preserve">openEdit() ref method: if the school isn't in local state, tries to refetch all schools and find it. Catch is empty — // silent — school not found. If the network fails or the school truly doesn't exist, drawer just never opens.</t>
  </si>
  <si>
    <t xml:space="preserve">Throw or return false from openEdit so callers can show a toast 'School not found'.</t>
  </si>
  <si>
    <t xml:space="preserve">CR-016</t>
  </si>
  <si>
    <t xml:space="preserve">security/compliance routes mask Zod and permission errors as 500</t>
  </si>
  <si>
    <t xml:space="preserve">Both routes do not use the canonical withAuth wrapper. Their catch falls through to fail('INTERNAL_ERROR') with 500. Zod parse errors and permission denials get swallowed and reported as 500 instead of 400/403.</t>
  </si>
  <si>
    <t xml:space="preserve">Migrate both routes to withAuth({permission: PERMISSIONS.ALL, schema: UpdateSchema}). The wrapper already classifies Zod, permission, and Prisma errors correctly.</t>
  </si>
  <si>
    <t xml:space="preserve">src/app/api/settings/security/route.ts</t>
  </si>
  <si>
    <t xml:space="preserve">CR-012</t>
  </si>
  <si>
    <t xml:space="preserve">Routing categories PATCH does not verify specialistUserId/fallbackUserId belong to the org</t>
  </si>
  <si>
    <t xml:space="preserve">Both ids accepted from body and written straight to the routing config — could pin a user from another org.</t>
  </si>
  <si>
    <t xml:space="preserve">Validate both ids with prisma.user.findFirst({where:{id, organizationId:orgId}}) before update.</t>
  </si>
  <si>
    <t xml:space="preserve">src/app/api/settings/ticket-routing/categories/route.ts</t>
  </si>
  <si>
    <t xml:space="preserve">CR-013</t>
  </si>
  <si>
    <t xml:space="preserve">Escalation POST does not verify targetUserId belongs to the org</t>
  </si>
  <si>
    <t xml:space="preserve">targetUserId written to EscalationRule with no cross-org check.</t>
  </si>
  <si>
    <t xml:space="preserve">prisma.user.findFirst({where:{id:targetUserId, organizationId:orgId}}) before create.</t>
  </si>
  <si>
    <t xml:space="preserve">src/app/api/settings/ticket-routing/escalation/route.ts</t>
  </si>
  <si>
    <t xml:space="preserve">UX-008</t>
  </si>
  <si>
    <t xml:space="preserve">SLAInput onChange prop ignored</t>
  </si>
  <si>
    <t xml:space="preserve">SLAInput accepts onChange in its type signature but never uses it; only onUpdate runs. The unused prop is misleading; SLA Resolve column wires onChange={()=&gt;{}} showing the dev knew it was no-op.</t>
  </si>
  <si>
    <t xml:space="preserve">Remove the dead onChange prop, or wire it for live cache updates.</t>
  </si>
  <si>
    <t xml:space="preserve">src/components/settings/TicketRoutingTab.tsx</t>
  </si>
  <si>
    <t xml:space="preserve">UX-009</t>
  </si>
  <si>
    <t xml:space="preserve">AddStaffButton and removeStaffMember defined but never rendered</t>
  </si>
  <si>
    <t xml:space="preserve">AddStaffButton helper and removeStaffMember are declared but never invoked in the JSX. The Staff Availability section has no UI to add or remove staff — only an empty-state hint says 'Assign roles with ticket permissions to see staff here automatically.'</t>
  </si>
  <si>
    <t xml:space="preserve">Either delete the dead code, or render AddStaffButton in the Staff Availability section header with a corresponding remove action per row.</t>
  </si>
  <si>
    <t xml:space="preserve">UX-040</t>
  </si>
  <si>
    <t xml:space="preserve">Manager picker shows when no config exists, hidden when config exists with non-MANAGER strategy</t>
  </si>
  <si>
    <t xml:space="preserve">Condition (currentStrategy === 'MANAGER_TRIAGE' || !currentConfig) means before any config is seeded the Triage Manager dropdown shows even though no strategy is selected — confusing.</t>
  </si>
  <si>
    <t xml:space="preserve">Only show the dropdown when MANAGER_TRIAGE is the active strategy; rely on the auto-seed to populate currentConfig before rendering.</t>
  </si>
  <si>
    <t xml:space="preserve">UX-026</t>
  </si>
  <si>
    <t xml:space="preserve">LOW</t>
  </si>
  <si>
    <t xml:space="preserve">Tab depends on activeSchoolId but doesn't surface 'no school selected'</t>
  </si>
  <si>
    <t xml:space="preserve">Sub-tabs receive activeSchoolId from useActiveSchool. If no school is selected, schedules filter to nothing and show only 'No bell schedules configured' — user has no clue this is because of an unset filter.</t>
  </si>
  <si>
    <t xml:space="preserve">Show a one-line context banner: 'Showing schedules for: &lt;school&gt;' with a school picker; or 'All schools' when activeSchoolId is empty.</t>
  </si>
  <si>
    <t xml:space="preserve">UX-022</t>
  </si>
  <si>
    <t xml:space="preserve">Single-module registry yields a one-card Add-ons tab</t>
  </si>
  <si>
    <t xml:space="preserve">Only Athletics is registered. The whole tab presents as a half-empty grid with one card and a long inline comment about features being now-core. First-time admins land on what looks like an empty/buggy screen.</t>
  </si>
  <si>
    <t xml:space="preserve">Either hide the Add-ons tab from the sidebar when only one optional add-on exists, or add an explanation card alongside the Athletics card listing what's now built-in.</t>
  </si>
  <si>
    <t xml:space="preserve">CR-029</t>
  </si>
  <si>
    <t xml:space="preserve">Awaiting params inside handler when withAuth has already awaited it</t>
  </si>
  <si>
    <t xml:space="preserve">const { id } = await params — params is already a plain object after withAuth awaited the dynamic-route Promise. Suggests confusion about Next.js 15 typing.</t>
  </si>
  <si>
    <t xml:space="preserve">const { id } = params (no await).</t>
  </si>
  <si>
    <t xml:space="preserve">src/app/api/settings/approval-rules/[id]/route.ts</t>
  </si>
  <si>
    <t xml:space="preserve">UX-043</t>
  </si>
  <si>
    <t xml:space="preserve">Button label varies between 'Upgrade to X' and 'Upgrade'</t>
  </si>
  <si>
    <t xml:space="preserve">Plan card button cycles through 'Upgrade to Pro', 'Upgrade', 'Downgrade', 'Select Plan' depending on subscription state. Inconsistent verbosity makes plan rows visually uneven.</t>
  </si>
  <si>
    <t xml:space="preserve">Standardize on '&lt;Action&gt; &lt;Plan name&gt;' (e.g., 'Upgrade to Pro', 'Downgrade to Starter').</t>
  </si>
  <si>
    <t xml:space="preserve">src/components/settings/billing/PlanComparisonSection.tsx</t>
  </si>
  <si>
    <t xml:space="preserve">CR-028</t>
  </si>
  <si>
    <t xml:space="preserve">Building PATCH parses Zod manually inside handler instead of using schema option</t>
  </si>
  <si>
    <t xml:space="preserve">UpdateBuildingSchema.parse(body) inside handler. If parsing throws, withAuth.classifyError turns it into a 400. Every other route uses the schema: option. Inconsistent style.</t>
  </si>
  <si>
    <t xml:space="preserve">Move to withAuth(handler, { permission: ..., schema: UpdateBuildingSchema }).</t>
  </si>
  <si>
    <t xml:space="preserve">src/app/api/settings/campus/buildings/[id]/route.ts</t>
  </si>
  <si>
    <t xml:space="preserve">CR-030</t>
  </si>
  <si>
    <t xml:space="preserve">Use of any[] type for outdoor map spaces</t>
  </si>
  <si>
    <t xml:space="preserve">const [outdoorMapSpaces, setOutdoorMapSpaces] = useState&lt;any[]&gt;([]) — explicit any violates the typescript style rule.</t>
  </si>
  <si>
    <t xml:space="preserve">Define a proper interface for the outdoor space shape.</t>
  </si>
  <si>
    <t xml:space="preserve">src/components/settings/CampusTab.tsx</t>
  </si>
  <si>
    <t xml:space="preserve">LIVE-011</t>
  </si>
  <si>
    <t xml:space="preserve">GET /api/settings/campus/district returns 404 'No district found'</t>
  </si>
  <si>
    <t xml:space="preserve">With no district configured, the route returns 404 with NOT_FOUND. The UI must handle this without showing an error banner — confirm there's a graceful empty-state path.</t>
  </si>
  <si>
    <t xml:space="preserve">Verify the Facilities tab handles 404 from this route as 'no district yet, suggest creating one' rather than a hard error.</t>
  </si>
  <si>
    <t xml:space="preserve">(api shape)</t>
  </si>
  <si>
    <t xml:space="preserve">UX-031</t>
  </si>
  <si>
    <t xml:space="preserve">CampusTab is approaching 1000 lines and should be split</t>
  </si>
  <si>
    <t xml:space="preserve">Loose typing for map data and ad-hoc state inside an 800+ line file. Correlates with bugs that surface as UX problems.</t>
  </si>
  <si>
    <t xml:space="preserve">Split CampusTab into ViewState reducer + CampusMapPanel + CampusListPanel; tighten types via existing ./campus/types.tsx module.</t>
  </si>
  <si>
    <t xml:space="preserve">CR-024</t>
  </si>
  <si>
    <t xml:space="preserve">Components mix cookie auth with Bearer-token auth headers</t>
  </si>
  <si>
    <t xml:space="preserve">16 settings components read localStorage.getItem('auth-token') and send Authorization: Bearer ${token} — but the actual auth path uses cookies. When a user has cookies but no localStorage token, the Bearer header is 'Bearer null' (string).</t>
  </si>
  <si>
    <t xml:space="preserve">Standardise on getAuthHeaders() from @/lib/api-client (already used by ProfileTab and SchoolsManagement).</t>
  </si>
  <si>
    <t xml:space="preserve">LIVE-012</t>
  </si>
  <si>
    <t xml:space="preserve">401 from no-auth requests says 'Missing tenant context' — confusing</t>
  </si>
  <si>
    <t xml:space="preserve">GET /api/settings/users without credentials returns 401 with message 'Missing tenant context'. The status code is right, but the message describes the org-scope mechanism rather than 'You're not signed in'.</t>
  </si>
  <si>
    <t xml:space="preserve">Standardise on 'Authentication required' or 'Sign in to continue' for client-facing 401 messages.</t>
  </si>
  <si>
    <t xml:space="preserve">(api error wording)</t>
  </si>
  <si>
    <t xml:space="preserve">LIVE-013</t>
  </si>
  <si>
    <t xml:space="preserve">positive</t>
  </si>
  <si>
    <t xml:space="preserve">Cross-tenant header injection IS blocked (positive)</t>
  </si>
  <si>
    <t xml:space="preserve">Sending X-Organization-ID: 00000000-... to GET /api/settings/users returns the same data as the legitimate org. Confirms the middleware uses the JWT-derived orgId and ignores client-supplied X-Organization-ID.</t>
  </si>
  <si>
    <t xml:space="preserve">No fix needed — document this as the intended behavior so future contributors don't mistakenly trust the header.</t>
  </si>
  <si>
    <t xml:space="preserve">(positive finding)</t>
  </si>
  <si>
    <t xml:space="preserve">LIVE-014</t>
  </si>
  <si>
    <t xml:space="preserve">Roles + Teams CRUD round-trip works end-to-end (positive)</t>
  </si>
  <si>
    <t xml:space="preserve">Create role → duplicate-detect (409) → update → delete all return 2xx with the right shape. System-role deletion correctly returns 403 FORBIDDEN.</t>
  </si>
  <si>
    <t xml:space="preserve">No fix needed — keep the smoke test in CI.</t>
  </si>
  <si>
    <t xml:space="preserve">UX-037</t>
  </si>
  <si>
    <t xml:space="preserve">Lazy-loaded tabs are kept mounted forever</t>
  </si>
  <si>
    <t xml:space="preserve">Once a tab is added to visitedTabs, it stays mounted (just hidden via CSS). Switching back is instant but every visited tab keeps its data fetches/mutations alive in the background, including Activity Log polling.</t>
  </si>
  <si>
    <t xml:space="preserve">For heavy tabs (AuditLog, BillingTab with Stripe portal, Approval Rules) consider unmount-when-hidden or pause queries via TanStack Query's enabled flag.</t>
  </si>
  <si>
    <t xml:space="preserve">UX-044</t>
  </si>
  <si>
    <t xml:space="preserve">Unused imports</t>
  </si>
  <si>
    <t xml:space="preserve">Plus is imported but never used in AddOnsTab. Minor — shows lint enforcement gap.</t>
  </si>
  <si>
    <t xml:space="preserve">Remove unused imports; tighten ESLint config.</t>
  </si>
  <si>
    <t xml:space="preserve">UX-047</t>
  </si>
  <si>
    <t xml:space="preserve">Reassign user dropdown lacks descriptive aria-label per row</t>
  </si>
  <si>
    <t xml:space="preserve">Each per-user reassign select uses aria-label='Reassign users to role' — same string for every row. Screen-reader user hears the same label N times with no way to distinguish which user.</t>
  </si>
  <si>
    <t xml:space="preserve">aria-label={`Reassign ${displayName || user.email} to a different role`}.</t>
  </si>
  <si>
    <t xml:space="preserve">CR-032</t>
  </si>
  <si>
    <t xml:space="preserve">export</t>
  </si>
  <si>
    <t xml:space="preserve">Users CSV export gated by SETTINGS_READ — too permissive for PII bulk download</t>
  </si>
  <si>
    <t xml:space="preserve">Exports name, email, role, status, createdAt for all org users. Gated by SETTINGS_READ (granted to MEMBER). Members shouldn't be able to bulk-download the org member list as CSV.</t>
  </si>
  <si>
    <t xml:space="preserve">Use PERMISSIONS.USERS_READ (admin only).</t>
  </si>
  <si>
    <t xml:space="preserve">src/app/api/settings/export/users/route.ts</t>
  </si>
  <si>
    <t xml:space="preserve">CR-027</t>
  </si>
  <si>
    <t xml:space="preserve">User search uses contains without DB indexes</t>
  </si>
  <si>
    <t xml:space="preserve">firstName/lastName/email contains: search, mode: insensitive on every keystroke. No pg_trgm GIN index. Becomes a full table scan once orgs cross a few hundred users.</t>
  </si>
  <si>
    <t xml:space="preserve">Debounce client-side now. Long term, add GIN/trigram index on User.firstName, lastName, email.</t>
  </si>
  <si>
    <t xml:space="preserve">CR-031</t>
  </si>
  <si>
    <t xml:space="preserve">Token / orgId pulled from localStorage at module-level scope</t>
  </si>
  <si>
    <t xml:space="preserve">const token = ... localStorage.getItem('auth-token') is computed once on first render and never refreshed. If user re-authenticates in another tab, the existing tab keeps stale token in headers.</t>
  </si>
  <si>
    <t xml:space="preserve">Read inside getAuthHeaders so each request reads current value, or rely on cookie auth.</t>
  </si>
  <si>
    <t xml:space="preserve">CR-033</t>
  </si>
  <si>
    <t xml:space="preserve">Bulk-PII audit log fires on every list-users request</t>
  </si>
  <si>
    <t xml:space="preserve">Every page of users (limit 25 default) writes a users.read audit row. For an admin with the Members tab open + typing in search, that's one audit-log row per keystroke. Bloats the audit log; slows the table.</t>
  </si>
  <si>
    <t xml:space="preserve">Throttle: only audit-log when search query changes meaningfully or page &gt; 1. Move PII-bulk-access logging to a dedicated CSV-export endpoint.</t>
  </si>
  <si>
    <t xml:space="preserve">UX-016</t>
  </si>
  <si>
    <t xml:space="preserve">Mixed error UI — banner for fetch error, toast for mutations</t>
  </si>
  <si>
    <t xml:space="preserve">Fetch errors render an inline red banner with Retry; mutation errors show a toast. Inconsistent — users may not know where to look. RolesTab/TeamsTab use a top banner exclusively.</t>
  </si>
  <si>
    <t xml:space="preserve">Pick one pattern per concern: toast for transient action results, inline banner for blocking-load failures.</t>
  </si>
  <si>
    <t xml:space="preserve">UX-017</t>
  </si>
  <si>
    <t xml:space="preserve">Filter rebuilt on every keystroke without memoization</t>
  </si>
  <si>
    <t xml:space="preserve">filtered recomputes on every render. Each STATUS_TAB count badge re-iterates the full users array.</t>
  </si>
  <si>
    <t xml:space="preserve">Memoize counts with useMemo.</t>
  </si>
  <si>
    <t xml:space="preserve">UX-038</t>
  </si>
  <si>
    <t xml:space="preserve">Export CSV uses window.open with no auth retry path</t>
  </si>
  <si>
    <t xml:space="preserve">window.open opens /api/settings/export/users in a new tab. Browsers don't send Bearer header for new tabs — only works because the API also accepts the cookie. If cookies expire user gets a raw 401 page.</t>
  </si>
  <si>
    <t xml:space="preserve">Stream the CSV via a fetch with credentials, then create an object URL to download — handles 401 gracefully.</t>
  </si>
  <si>
    <t xml:space="preserve">CR-025</t>
  </si>
  <si>
    <t xml:space="preserve">Org delete uses string match on roleName instead of permission check</t>
  </si>
  <si>
    <t xml:space="preserve">if (ctx.roleName !== 'super-admin') is fragile. The route already has permission: PERMISSIONS.SETTINGS_BILLING as the wrapper-level gate, which is too weak (admin has it).</t>
  </si>
  <si>
    <t xml:space="preserve">Replace with await assertCan(ctx.userId, PERMISSIONS.ALL). Tighten wrapper-level permission too.</t>
  </si>
  <si>
    <t xml:space="preserve">src/app/api/settings/organization/delete/route.ts</t>
  </si>
  <si>
    <t xml:space="preserve">CR-026</t>
  </si>
  <si>
    <t xml:space="preserve">Organization GET readable by all members</t>
  </si>
  <si>
    <t xml:space="preserve">SETTINGS_READ granted to default MEMBER role. Returns name, slug, eventBufferMinutes — exposes org slug to non-admins. Likely intentional but worth confirming.</t>
  </si>
  <si>
    <t xml:space="preserve">If non-admins genuinely don't need this endpoint, gate with USERS_READ or stricter.</t>
  </si>
  <si>
    <t xml:space="preserve">src/app/api/settings/organization/route.ts</t>
  </si>
  <si>
    <t xml:space="preserve">UX-035</t>
  </si>
  <si>
    <t xml:space="preserve">Initial mount fetches MFA via fetch in addition to useAuth context</t>
  </si>
  <si>
    <t xml:space="preserve">ProfileTab does its own fetch('/api/auth/me') on mount bypassing the cached context already provided by useAuth. Causes an extra network call and races with the context refresh.</t>
  </si>
  <si>
    <t xml:space="preserve">Read mfaEnabled from useAuth or a shared query hook.</t>
  </si>
  <si>
    <t xml:space="preserve">UX-041</t>
  </si>
  <si>
    <t xml:space="preserve">Two save bars compete on long pages</t>
  </si>
  <si>
    <t xml:space="preserve">When the form is dirty, the user sees BOTH the inline 'Save Changes' button at L522 AND the fixed bottom bar at L541. Clicking either does the same thing — but the redundancy is visual noise.</t>
  </si>
  <si>
    <t xml:space="preserve">Hide the inline button when isDirty (the sticky bar takes over).</t>
  </si>
  <si>
    <t xml:space="preserve">UX-042</t>
  </si>
  <si>
    <t xml:space="preserve">Institution Type dropdown omits FAITH_BASED option</t>
  </si>
  <si>
    <t xml:space="preserve">The form only offers PUBLIC/PRIVATE/CHARTER/HYBRID. But FAITH_BASED is a valid value used elsewhere. Existing FAITH_BASED orgs cannot edit this field correctly without losing their setting.</t>
  </si>
  <si>
    <t xml:space="preserve">Add FAITH_BASED option (consistent with the platform's secular, multi-tenant stance — it's a category, not a religious reference).</t>
  </si>
  <si>
    <t xml:space="preserve">UX-049</t>
  </si>
  <si>
    <t xml:space="preserve">Slug success message hardcodes lionheartapp.com</t>
  </si>
  <si>
    <t xml:space="preserve">setSlugSuccess(`Subdomain updated to ${slugInput}.lionheartapp.com`) hardcodes the domain. NEXT_PUBLIC_PLATFORM_URL exists for this. White-label or staging instances will show wrong copy.</t>
  </si>
  <si>
    <t xml:space="preserve">Read from process.env.NEXT_PUBLIC_PLATFORM_URL or NEXT_PUBLIC_APP_URL.</t>
  </si>
  <si>
    <t xml:space="preserve">CR-034</t>
  </si>
  <si>
    <t xml:space="preserve">N+1 ticket-count queries in staff-availability GET</t>
  </si>
  <si>
    <t xml:space="preserve">For each staff availability row, awaits rawPrisma.maintenanceTicket.count(...) inside Promise.all. N round-trips for N staff. Same N+1 in ticket-routing/dashboard/route.ts:34.</t>
  </si>
  <si>
    <t xml:space="preserve">Use groupBy(['assignedToId']) once and look up counts per user from the result map.</t>
  </si>
  <si>
    <t xml:space="preserve">src/app/api/settings/staff-availability/route.ts</t>
  </si>
  <si>
    <t xml:space="preserve">LIVE-015</t>
  </si>
  <si>
    <t xml:space="preserve">ticket-routing/* GETs return 400 without ?module=</t>
  </si>
  <si>
    <t xml:space="preserve">GET /api/settings/ticket-routing/categories|dashboard|fields|fields/library all return VALIDATION_ERROR 'module query param required (MAINTENANCE or IT)' when module is missing. This is correct API behavior, but consumers (UI components, scripts) need to know.</t>
  </si>
  <si>
    <t xml:space="preserve">Document required query params on each route handler comment so consumers and AI assistants reading the code know what to send.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</si>
</sst>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C00000"/>
        <bgColor rgb="FF800000"/>
      </patternFill>
    </fill>
    <fill>
      <patternFill patternType="solid">
        <fgColor rgb="FFE97132"/>
        <bgColor rgb="FFFF8080"/>
      </patternFill>
    </fill>
    <fill>
      <patternFill patternType="solid">
        <fgColor rgb="FFF1C232"/>
        <bgColor rgb="FFFFCC99"/>
      </patternFill>
    </fill>
    <fill>
      <patternFill patternType="solid">
        <fgColor rgb="FF9FC5E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8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FC5E8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97132"/>
          <bgColor rgb="FF000000"/>
        </patternFill>
      </fill>
    </dxf>
    <dxf>
      <fill>
        <patternFill patternType="solid">
          <fgColor rgb="FFF1C232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1C232"/>
      <rgbColor rgb="FFFF9900"/>
      <rgbColor rgb="FFE97132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n">
        <f aca="false">COUNTA(Issues!A2:A100)</f>
        <v>99</v>
      </c>
    </row>
    <row r="5" customFormat="false" ht="15" hidden="false" customHeight="false" outlineLevel="0" collapsed="false">
      <c r="A5" s="2" t="s">
        <v>4</v>
      </c>
      <c r="B5" s="3" t="n">
        <f aca="false">COUNTIF(Issues!B:B,"CRITICAL")</f>
        <v>4</v>
      </c>
    </row>
    <row r="6" customFormat="false" ht="15" hidden="false" customHeight="false" outlineLevel="0" collapsed="false">
      <c r="A6" s="2" t="s">
        <v>5</v>
      </c>
      <c r="B6" s="3" t="n">
        <f aca="false">COUNTIF(Issues!B:B,"HIGH")</f>
        <v>21</v>
      </c>
    </row>
    <row r="7" customFormat="false" ht="15" hidden="false" customHeight="false" outlineLevel="0" collapsed="false">
      <c r="A7" s="2" t="s">
        <v>6</v>
      </c>
      <c r="B7" s="3" t="n">
        <f aca="false">COUNTIF(Issues!B:B,"MEDIUM")</f>
        <v>44</v>
      </c>
    </row>
    <row r="8" customFormat="false" ht="15" hidden="false" customHeight="false" outlineLevel="0" collapsed="false">
      <c r="A8" s="2" t="s">
        <v>7</v>
      </c>
      <c r="B8" s="3" t="n">
        <f aca="false">COUNTIF(Issues!B:B,"LOW")</f>
        <v>30</v>
      </c>
    </row>
    <row r="10" customFormat="false" ht="15" hidden="false" customHeight="false" outlineLevel="0" collapsed="false">
      <c r="A10" s="4" t="s">
        <v>8</v>
      </c>
      <c r="D10" s="4" t="s">
        <v>9</v>
      </c>
    </row>
    <row r="11" customFormat="false" ht="15" hidden="false" customHeight="false" outlineLevel="0" collapsed="false">
      <c r="A11" s="3" t="s">
        <v>10</v>
      </c>
      <c r="B11" s="3" t="n">
        <f aca="false">COUNTIF(Issues!C:C,"academic-calendar")</f>
        <v>3</v>
      </c>
      <c r="D11" s="3" t="s">
        <v>11</v>
      </c>
      <c r="E11" s="3" t="n">
        <f aca="false">COUNTIF(Issues!E:E,"CODE_REVIEW")</f>
        <v>34</v>
      </c>
    </row>
    <row r="12" customFormat="false" ht="15" hidden="false" customHeight="false" outlineLevel="0" collapsed="false">
      <c r="A12" s="3" t="s">
        <v>12</v>
      </c>
      <c r="B12" s="3" t="n">
        <f aca="false">COUNTIF(Issues!C:C,"activity-log")</f>
        <v>1</v>
      </c>
      <c r="D12" s="3" t="s">
        <v>13</v>
      </c>
      <c r="E12" s="3" t="n">
        <f aca="false">COUNTIF(Issues!E:E,"LIVE_TEST")</f>
        <v>15</v>
      </c>
    </row>
    <row r="13" customFormat="false" ht="15" hidden="false" customHeight="false" outlineLevel="0" collapsed="false">
      <c r="A13" s="3" t="s">
        <v>14</v>
      </c>
      <c r="B13" s="3" t="n">
        <f aca="false">COUNTIF(Issues!C:C,"add-ons")</f>
        <v>2</v>
      </c>
      <c r="D13" s="3" t="s">
        <v>15</v>
      </c>
      <c r="E13" s="3" t="n">
        <f aca="false">COUNTIF(Issues!E:E,"UX_AUDIT")</f>
        <v>50</v>
      </c>
    </row>
    <row r="14" customFormat="false" ht="15" hidden="false" customHeight="false" outlineLevel="0" collapsed="false">
      <c r="A14" s="3" t="s">
        <v>16</v>
      </c>
      <c r="B14" s="3" t="n">
        <f aca="false">COUNTIF(Issues!C:C,"approval")</f>
        <v>11</v>
      </c>
    </row>
    <row r="15" customFormat="false" ht="15" hidden="false" customHeight="false" outlineLevel="0" collapsed="false">
      <c r="A15" s="3" t="s">
        <v>17</v>
      </c>
      <c r="B15" s="3" t="n">
        <f aca="false">COUNTIF(Issues!C:C,"audit-logs")</f>
        <v>6</v>
      </c>
    </row>
    <row r="16" customFormat="false" ht="15" hidden="false" customHeight="false" outlineLevel="0" collapsed="false">
      <c r="A16" s="3" t="s">
        <v>18</v>
      </c>
      <c r="B16" s="3" t="n">
        <f aca="false">COUNTIF(Issues!C:C,"billing")</f>
        <v>6</v>
      </c>
    </row>
    <row r="17" customFormat="false" ht="15" hidden="false" customHeight="false" outlineLevel="0" collapsed="false">
      <c r="A17" s="3" t="s">
        <v>19</v>
      </c>
      <c r="B17" s="3" t="n">
        <f aca="false">COUNTIF(Issues!C:C,"campus")</f>
        <v>7</v>
      </c>
    </row>
    <row r="18" customFormat="false" ht="15" hidden="false" customHeight="false" outlineLevel="0" collapsed="false">
      <c r="A18" s="3" t="s">
        <v>20</v>
      </c>
      <c r="B18" s="3" t="n">
        <f aca="false">COUNTIF(Issues!C:C,"compliance")</f>
        <v>2</v>
      </c>
    </row>
    <row r="19" customFormat="false" ht="15" hidden="false" customHeight="false" outlineLevel="0" collapsed="false">
      <c r="A19" s="3" t="s">
        <v>21</v>
      </c>
      <c r="B19" s="3" t="n">
        <f aca="false">COUNTIF(Issues!C:C,"cross-cutting")</f>
        <v>16</v>
      </c>
    </row>
    <row r="20" customFormat="false" ht="15" hidden="false" customHeight="false" outlineLevel="0" collapsed="false">
      <c r="A20" s="4" t="s">
        <v>22</v>
      </c>
      <c r="B20" s="3" t="n">
        <f aca="false">COUNTIF(Issues!C:C,"export")</f>
        <v>1</v>
      </c>
    </row>
    <row r="21" customFormat="false" ht="23.85" hidden="false" customHeight="false" outlineLevel="0" collapsed="false">
      <c r="A21" s="5" t="s">
        <v>23</v>
      </c>
      <c r="B21" s="3" t="n">
        <f aca="false">COUNTIF(Issues!C:C,"integrations")</f>
        <v>2</v>
      </c>
    </row>
    <row r="22" customFormat="false" ht="35.05" hidden="false" customHeight="false" outlineLevel="0" collapsed="false">
      <c r="A22" s="5" t="s">
        <v>24</v>
      </c>
      <c r="B22" s="3" t="n">
        <f aca="false">COUNTIF(Issues!C:C,"members")</f>
        <v>11</v>
      </c>
    </row>
    <row r="23" customFormat="false" ht="46.25" hidden="false" customHeight="false" outlineLevel="0" collapsed="false">
      <c r="A23" s="5" t="s">
        <v>25</v>
      </c>
      <c r="B23" s="3" t="n">
        <f aca="false">COUNTIF(Issues!C:C,"organization")</f>
        <v>3</v>
      </c>
    </row>
    <row r="24" customFormat="false" ht="57.45" hidden="false" customHeight="false" outlineLevel="0" collapsed="false">
      <c r="A24" s="5" t="s">
        <v>26</v>
      </c>
      <c r="B24" s="3" t="n">
        <f aca="false">COUNTIF(Issues!C:C,"principals")</f>
        <v>4</v>
      </c>
    </row>
    <row r="25" customFormat="false" ht="15" hidden="false" customHeight="false" outlineLevel="0" collapsed="false">
      <c r="A25" s="3" t="s">
        <v>27</v>
      </c>
      <c r="B25" s="3" t="n">
        <f aca="false">COUNTIF(Issues!C:C,"profile")</f>
        <v>4</v>
      </c>
    </row>
    <row r="26" customFormat="false" ht="15" hidden="false" customHeight="false" outlineLevel="0" collapsed="false">
      <c r="A26" s="3" t="s">
        <v>28</v>
      </c>
      <c r="B26" s="3" t="n">
        <f aca="false">COUNTIF(Issues!C:C,"school-info")</f>
        <v>5</v>
      </c>
    </row>
    <row r="27" customFormat="false" ht="15" hidden="false" customHeight="false" outlineLevel="0" collapsed="false">
      <c r="A27" s="3" t="s">
        <v>29</v>
      </c>
      <c r="B27" s="3" t="n">
        <f aca="false">COUNTIF(Issues!C:C,"schools")</f>
        <v>5</v>
      </c>
    </row>
    <row r="28" customFormat="false" ht="15" hidden="false" customHeight="false" outlineLevel="0" collapsed="false">
      <c r="A28" s="3" t="s">
        <v>30</v>
      </c>
      <c r="B28" s="3" t="n">
        <f aca="false">COUNTIF(Issues!C:C,"security")</f>
        <v>2</v>
      </c>
    </row>
    <row r="29" customFormat="false" ht="15" hidden="false" customHeight="false" outlineLevel="0" collapsed="false">
      <c r="A29" s="3" t="s">
        <v>31</v>
      </c>
      <c r="B29" s="3" t="n">
        <f aca="false">COUNTIF(Issues!C:C,"ticket-routing")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8"/>
    <col collapsed="false" customWidth="true" hidden="false" outlineLevel="0" max="8" min="7" style="0" width="70"/>
    <col collapsed="false" customWidth="true" hidden="false" outlineLevel="0" max="9" min="9" style="0" width="50"/>
    <col collapsed="false" customWidth="true" hidden="false" outlineLevel="0" max="10" min="10" style="0" width="7"/>
  </cols>
  <sheetData>
    <row r="1" customFormat="false" ht="1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</row>
    <row r="2" customFormat="false" ht="35.05" hidden="false" customHeight="false" outlineLevel="0" collapsed="false">
      <c r="A2" s="7" t="s">
        <v>42</v>
      </c>
      <c r="B2" s="8" t="s">
        <v>43</v>
      </c>
      <c r="C2" s="7" t="s">
        <v>16</v>
      </c>
      <c r="D2" s="7" t="s">
        <v>44</v>
      </c>
      <c r="E2" s="7" t="s">
        <v>11</v>
      </c>
      <c r="F2" s="9" t="s">
        <v>45</v>
      </c>
      <c r="G2" s="9" t="s">
        <v>46</v>
      </c>
      <c r="H2" s="9" t="s">
        <v>47</v>
      </c>
      <c r="I2" s="9" t="s">
        <v>48</v>
      </c>
      <c r="J2" s="7" t="n">
        <v>131</v>
      </c>
    </row>
    <row r="3" customFormat="false" ht="23.85" hidden="false" customHeight="false" outlineLevel="0" collapsed="false">
      <c r="A3" s="7" t="s">
        <v>49</v>
      </c>
      <c r="B3" s="8" t="s">
        <v>43</v>
      </c>
      <c r="C3" s="7" t="s">
        <v>16</v>
      </c>
      <c r="D3" s="7" t="s">
        <v>44</v>
      </c>
      <c r="E3" s="7" t="s">
        <v>11</v>
      </c>
      <c r="F3" s="9" t="s">
        <v>50</v>
      </c>
      <c r="G3" s="9" t="s">
        <v>51</v>
      </c>
      <c r="H3" s="9" t="s">
        <v>52</v>
      </c>
      <c r="I3" s="9" t="s">
        <v>48</v>
      </c>
      <c r="J3" s="7" t="n">
        <v>140</v>
      </c>
    </row>
    <row r="4" customFormat="false" ht="23.85" hidden="false" customHeight="false" outlineLevel="0" collapsed="false">
      <c r="A4" s="7" t="s">
        <v>53</v>
      </c>
      <c r="B4" s="8" t="s">
        <v>43</v>
      </c>
      <c r="C4" s="7" t="s">
        <v>16</v>
      </c>
      <c r="D4" s="7" t="s">
        <v>44</v>
      </c>
      <c r="E4" s="7" t="s">
        <v>11</v>
      </c>
      <c r="F4" s="9" t="s">
        <v>54</v>
      </c>
      <c r="G4" s="9" t="s">
        <v>55</v>
      </c>
      <c r="H4" s="9" t="s">
        <v>56</v>
      </c>
      <c r="I4" s="9" t="s">
        <v>48</v>
      </c>
      <c r="J4" s="7" t="n">
        <v>181</v>
      </c>
    </row>
    <row r="5" customFormat="false" ht="35.05" hidden="false" customHeight="false" outlineLevel="0" collapsed="false">
      <c r="A5" s="7" t="s">
        <v>57</v>
      </c>
      <c r="B5" s="8" t="s">
        <v>43</v>
      </c>
      <c r="C5" s="7" t="s">
        <v>16</v>
      </c>
      <c r="D5" s="7" t="s">
        <v>44</v>
      </c>
      <c r="E5" s="7" t="s">
        <v>11</v>
      </c>
      <c r="F5" s="9" t="s">
        <v>58</v>
      </c>
      <c r="G5" s="9" t="s">
        <v>59</v>
      </c>
      <c r="H5" s="9" t="s">
        <v>60</v>
      </c>
      <c r="I5" s="9" t="s">
        <v>48</v>
      </c>
      <c r="J5" s="7" t="n">
        <v>157</v>
      </c>
    </row>
    <row r="6" customFormat="false" ht="46.25" hidden="false" customHeight="false" outlineLevel="0" collapsed="false">
      <c r="A6" s="7" t="s">
        <v>61</v>
      </c>
      <c r="B6" s="10" t="s">
        <v>62</v>
      </c>
      <c r="C6" s="7" t="s">
        <v>14</v>
      </c>
      <c r="D6" s="7" t="s">
        <v>63</v>
      </c>
      <c r="E6" s="7" t="s">
        <v>15</v>
      </c>
      <c r="F6" s="9" t="s">
        <v>64</v>
      </c>
      <c r="G6" s="9" t="s">
        <v>65</v>
      </c>
      <c r="H6" s="9" t="s">
        <v>66</v>
      </c>
      <c r="I6" s="9" t="s">
        <v>67</v>
      </c>
      <c r="J6" s="7" t="n">
        <v>137</v>
      </c>
    </row>
    <row r="7" customFormat="false" ht="23.85" hidden="false" customHeight="false" outlineLevel="0" collapsed="false">
      <c r="A7" s="7" t="s">
        <v>68</v>
      </c>
      <c r="B7" s="10" t="s">
        <v>62</v>
      </c>
      <c r="C7" s="7" t="s">
        <v>16</v>
      </c>
      <c r="D7" s="7" t="s">
        <v>69</v>
      </c>
      <c r="E7" s="7" t="s">
        <v>15</v>
      </c>
      <c r="F7" s="9" t="s">
        <v>70</v>
      </c>
      <c r="G7" s="9" t="s">
        <v>71</v>
      </c>
      <c r="H7" s="9" t="s">
        <v>72</v>
      </c>
      <c r="I7" s="9" t="s">
        <v>73</v>
      </c>
      <c r="J7" s="7" t="n">
        <v>340</v>
      </c>
    </row>
    <row r="8" customFormat="false" ht="23.85" hidden="false" customHeight="false" outlineLevel="0" collapsed="false">
      <c r="A8" s="7" t="s">
        <v>74</v>
      </c>
      <c r="B8" s="10" t="s">
        <v>62</v>
      </c>
      <c r="C8" s="7" t="s">
        <v>16</v>
      </c>
      <c r="D8" s="7" t="s">
        <v>75</v>
      </c>
      <c r="E8" s="7" t="s">
        <v>15</v>
      </c>
      <c r="F8" s="9" t="s">
        <v>76</v>
      </c>
      <c r="G8" s="9" t="s">
        <v>77</v>
      </c>
      <c r="H8" s="9" t="s">
        <v>78</v>
      </c>
      <c r="I8" s="9" t="s">
        <v>73</v>
      </c>
      <c r="J8" s="7" t="n">
        <v>485</v>
      </c>
    </row>
    <row r="9" customFormat="false" ht="23.85" hidden="false" customHeight="false" outlineLevel="0" collapsed="false">
      <c r="A9" s="7" t="s">
        <v>79</v>
      </c>
      <c r="B9" s="10" t="s">
        <v>62</v>
      </c>
      <c r="C9" s="7" t="s">
        <v>17</v>
      </c>
      <c r="D9" s="7" t="s">
        <v>80</v>
      </c>
      <c r="E9" s="7" t="s">
        <v>11</v>
      </c>
      <c r="F9" s="9" t="s">
        <v>81</v>
      </c>
      <c r="G9" s="9" t="s">
        <v>82</v>
      </c>
      <c r="H9" s="9" t="s">
        <v>83</v>
      </c>
      <c r="I9" s="9" t="s">
        <v>84</v>
      </c>
      <c r="J9" s="7" t="n">
        <v>60</v>
      </c>
    </row>
    <row r="10" customFormat="false" ht="23.85" hidden="false" customHeight="false" outlineLevel="0" collapsed="false">
      <c r="A10" s="7" t="s">
        <v>85</v>
      </c>
      <c r="B10" s="10" t="s">
        <v>62</v>
      </c>
      <c r="C10" s="7" t="s">
        <v>18</v>
      </c>
      <c r="D10" s="7" t="s">
        <v>86</v>
      </c>
      <c r="E10" s="7" t="s">
        <v>15</v>
      </c>
      <c r="F10" s="9" t="s">
        <v>87</v>
      </c>
      <c r="G10" s="9" t="s">
        <v>88</v>
      </c>
      <c r="H10" s="9" t="s">
        <v>89</v>
      </c>
      <c r="I10" s="9" t="s">
        <v>90</v>
      </c>
      <c r="J10" s="7" t="n">
        <v>190</v>
      </c>
    </row>
    <row r="11" customFormat="false" ht="23.85" hidden="false" customHeight="false" outlineLevel="0" collapsed="false">
      <c r="A11" s="7" t="s">
        <v>91</v>
      </c>
      <c r="B11" s="10" t="s">
        <v>62</v>
      </c>
      <c r="C11" s="7" t="s">
        <v>20</v>
      </c>
      <c r="D11" s="7" t="s">
        <v>86</v>
      </c>
      <c r="E11" s="7" t="s">
        <v>15</v>
      </c>
      <c r="F11" s="9" t="s">
        <v>92</v>
      </c>
      <c r="G11" s="9" t="s">
        <v>93</v>
      </c>
      <c r="H11" s="9" t="s">
        <v>94</v>
      </c>
      <c r="I11" s="9" t="s">
        <v>95</v>
      </c>
      <c r="J11" s="7" t="n">
        <v>95</v>
      </c>
    </row>
    <row r="12" customFormat="false" ht="46.25" hidden="false" customHeight="false" outlineLevel="0" collapsed="false">
      <c r="A12" s="7" t="s">
        <v>96</v>
      </c>
      <c r="B12" s="10" t="s">
        <v>62</v>
      </c>
      <c r="C12" s="7" t="s">
        <v>21</v>
      </c>
      <c r="D12" s="7" t="s">
        <v>30</v>
      </c>
      <c r="E12" s="7" t="s">
        <v>13</v>
      </c>
      <c r="F12" s="9" t="s">
        <v>97</v>
      </c>
      <c r="G12" s="9" t="s">
        <v>98</v>
      </c>
      <c r="H12" s="9" t="s">
        <v>99</v>
      </c>
      <c r="I12" s="9" t="s">
        <v>100</v>
      </c>
      <c r="J12" s="7"/>
    </row>
    <row r="13" customFormat="false" ht="46.25" hidden="false" customHeight="false" outlineLevel="0" collapsed="false">
      <c r="A13" s="7" t="s">
        <v>101</v>
      </c>
      <c r="B13" s="10" t="s">
        <v>62</v>
      </c>
      <c r="C13" s="7" t="s">
        <v>21</v>
      </c>
      <c r="D13" s="7" t="s">
        <v>102</v>
      </c>
      <c r="E13" s="7" t="s">
        <v>13</v>
      </c>
      <c r="F13" s="9" t="s">
        <v>103</v>
      </c>
      <c r="G13" s="9" t="s">
        <v>104</v>
      </c>
      <c r="H13" s="9" t="s">
        <v>105</v>
      </c>
      <c r="I13" s="9" t="s">
        <v>106</v>
      </c>
      <c r="J13" s="7"/>
    </row>
    <row r="14" customFormat="false" ht="57.45" hidden="false" customHeight="false" outlineLevel="0" collapsed="false">
      <c r="A14" s="7" t="s">
        <v>107</v>
      </c>
      <c r="B14" s="10" t="s">
        <v>62</v>
      </c>
      <c r="C14" s="7" t="s">
        <v>21</v>
      </c>
      <c r="D14" s="7" t="s">
        <v>108</v>
      </c>
      <c r="E14" s="7" t="s">
        <v>13</v>
      </c>
      <c r="F14" s="9" t="s">
        <v>109</v>
      </c>
      <c r="G14" s="9" t="s">
        <v>110</v>
      </c>
      <c r="H14" s="9" t="s">
        <v>111</v>
      </c>
      <c r="I14" s="9" t="s">
        <v>112</v>
      </c>
      <c r="J14" s="7" t="n">
        <v>312</v>
      </c>
    </row>
    <row r="15" customFormat="false" ht="35.05" hidden="false" customHeight="false" outlineLevel="0" collapsed="false">
      <c r="A15" s="7" t="s">
        <v>113</v>
      </c>
      <c r="B15" s="10" t="s">
        <v>62</v>
      </c>
      <c r="C15" s="7" t="s">
        <v>21</v>
      </c>
      <c r="D15" s="7" t="s">
        <v>108</v>
      </c>
      <c r="E15" s="7" t="s">
        <v>13</v>
      </c>
      <c r="F15" s="9" t="s">
        <v>114</v>
      </c>
      <c r="G15" s="9" t="s">
        <v>115</v>
      </c>
      <c r="H15" s="9" t="s">
        <v>116</v>
      </c>
      <c r="I15" s="9" t="s">
        <v>117</v>
      </c>
      <c r="J15" s="7"/>
    </row>
    <row r="16" customFormat="false" ht="35.05" hidden="false" customHeight="false" outlineLevel="0" collapsed="false">
      <c r="A16" s="7" t="s">
        <v>118</v>
      </c>
      <c r="B16" s="10" t="s">
        <v>62</v>
      </c>
      <c r="C16" s="7" t="s">
        <v>119</v>
      </c>
      <c r="D16" s="7" t="s">
        <v>69</v>
      </c>
      <c r="E16" s="7" t="s">
        <v>15</v>
      </c>
      <c r="F16" s="9" t="s">
        <v>120</v>
      </c>
      <c r="G16" s="9" t="s">
        <v>121</v>
      </c>
      <c r="H16" s="9" t="s">
        <v>122</v>
      </c>
      <c r="I16" s="9" t="s">
        <v>123</v>
      </c>
      <c r="J16" s="7" t="n">
        <v>184</v>
      </c>
    </row>
    <row r="17" customFormat="false" ht="35.05" hidden="false" customHeight="false" outlineLevel="0" collapsed="false">
      <c r="A17" s="7" t="s">
        <v>124</v>
      </c>
      <c r="B17" s="10" t="s">
        <v>62</v>
      </c>
      <c r="C17" s="7" t="s">
        <v>119</v>
      </c>
      <c r="D17" s="7" t="s">
        <v>69</v>
      </c>
      <c r="E17" s="7" t="s">
        <v>15</v>
      </c>
      <c r="F17" s="9" t="s">
        <v>125</v>
      </c>
      <c r="G17" s="9" t="s">
        <v>126</v>
      </c>
      <c r="H17" s="9" t="s">
        <v>127</v>
      </c>
      <c r="I17" s="9" t="s">
        <v>128</v>
      </c>
      <c r="J17" s="7" t="n">
        <v>291</v>
      </c>
    </row>
    <row r="18" customFormat="false" ht="46.25" hidden="false" customHeight="false" outlineLevel="0" collapsed="false">
      <c r="A18" s="7" t="s">
        <v>129</v>
      </c>
      <c r="B18" s="10" t="s">
        <v>62</v>
      </c>
      <c r="C18" s="7" t="s">
        <v>130</v>
      </c>
      <c r="D18" s="7" t="s">
        <v>131</v>
      </c>
      <c r="E18" s="7" t="s">
        <v>11</v>
      </c>
      <c r="F18" s="9" t="s">
        <v>132</v>
      </c>
      <c r="G18" s="9" t="s">
        <v>133</v>
      </c>
      <c r="H18" s="9" t="s">
        <v>134</v>
      </c>
      <c r="I18" s="9" t="s">
        <v>135</v>
      </c>
      <c r="J18" s="7" t="n">
        <v>120</v>
      </c>
    </row>
    <row r="19" customFormat="false" ht="46.25" hidden="false" customHeight="false" outlineLevel="0" collapsed="false">
      <c r="A19" s="7" t="s">
        <v>136</v>
      </c>
      <c r="B19" s="10" t="s">
        <v>62</v>
      </c>
      <c r="C19" s="7" t="s">
        <v>137</v>
      </c>
      <c r="D19" s="7" t="s">
        <v>138</v>
      </c>
      <c r="E19" s="7" t="s">
        <v>11</v>
      </c>
      <c r="F19" s="9" t="s">
        <v>139</v>
      </c>
      <c r="G19" s="9" t="s">
        <v>140</v>
      </c>
      <c r="H19" s="9" t="s">
        <v>141</v>
      </c>
      <c r="I19" s="9" t="s">
        <v>142</v>
      </c>
      <c r="J19" s="7" t="n">
        <v>193</v>
      </c>
    </row>
    <row r="20" customFormat="false" ht="35.05" hidden="false" customHeight="false" outlineLevel="0" collapsed="false">
      <c r="A20" s="7" t="s">
        <v>143</v>
      </c>
      <c r="B20" s="10" t="s">
        <v>62</v>
      </c>
      <c r="C20" s="7" t="s">
        <v>137</v>
      </c>
      <c r="D20" s="7" t="s">
        <v>80</v>
      </c>
      <c r="E20" s="7" t="s">
        <v>11</v>
      </c>
      <c r="F20" s="9" t="s">
        <v>144</v>
      </c>
      <c r="G20" s="9" t="s">
        <v>145</v>
      </c>
      <c r="H20" s="9" t="s">
        <v>146</v>
      </c>
      <c r="I20" s="9" t="s">
        <v>142</v>
      </c>
      <c r="J20" s="7" t="n">
        <v>60</v>
      </c>
    </row>
    <row r="21" customFormat="false" ht="23.85" hidden="false" customHeight="false" outlineLevel="0" collapsed="false">
      <c r="A21" s="7" t="s">
        <v>147</v>
      </c>
      <c r="B21" s="10" t="s">
        <v>62</v>
      </c>
      <c r="C21" s="7" t="s">
        <v>137</v>
      </c>
      <c r="D21" s="7" t="s">
        <v>131</v>
      </c>
      <c r="E21" s="7" t="s">
        <v>11</v>
      </c>
      <c r="F21" s="9" t="s">
        <v>148</v>
      </c>
      <c r="G21" s="9" t="s">
        <v>149</v>
      </c>
      <c r="H21" s="9" t="s">
        <v>150</v>
      </c>
      <c r="I21" s="9" t="s">
        <v>142</v>
      </c>
      <c r="J21" s="7" t="n">
        <v>100</v>
      </c>
    </row>
    <row r="22" customFormat="false" ht="23.85" hidden="false" customHeight="false" outlineLevel="0" collapsed="false">
      <c r="A22" s="7" t="s">
        <v>151</v>
      </c>
      <c r="B22" s="10" t="s">
        <v>62</v>
      </c>
      <c r="C22" s="7" t="s">
        <v>137</v>
      </c>
      <c r="D22" s="7" t="s">
        <v>80</v>
      </c>
      <c r="E22" s="7" t="s">
        <v>11</v>
      </c>
      <c r="F22" s="9" t="s">
        <v>152</v>
      </c>
      <c r="G22" s="9" t="s">
        <v>153</v>
      </c>
      <c r="H22" s="9" t="s">
        <v>154</v>
      </c>
      <c r="I22" s="9" t="s">
        <v>142</v>
      </c>
      <c r="J22" s="7" t="n">
        <v>175</v>
      </c>
    </row>
    <row r="23" customFormat="false" ht="35.05" hidden="false" customHeight="false" outlineLevel="0" collapsed="false">
      <c r="A23" s="7" t="s">
        <v>155</v>
      </c>
      <c r="B23" s="10" t="s">
        <v>62</v>
      </c>
      <c r="C23" s="7" t="s">
        <v>27</v>
      </c>
      <c r="D23" s="7" t="s">
        <v>69</v>
      </c>
      <c r="E23" s="7" t="s">
        <v>15</v>
      </c>
      <c r="F23" s="9" t="s">
        <v>156</v>
      </c>
      <c r="G23" s="9" t="s">
        <v>157</v>
      </c>
      <c r="H23" s="9" t="s">
        <v>158</v>
      </c>
      <c r="I23" s="9" t="s">
        <v>159</v>
      </c>
      <c r="J23" s="7" t="n">
        <v>209</v>
      </c>
    </row>
    <row r="24" customFormat="false" ht="35.05" hidden="false" customHeight="false" outlineLevel="0" collapsed="false">
      <c r="A24" s="7" t="s">
        <v>160</v>
      </c>
      <c r="B24" s="10" t="s">
        <v>62</v>
      </c>
      <c r="C24" s="7" t="s">
        <v>29</v>
      </c>
      <c r="D24" s="7" t="s">
        <v>161</v>
      </c>
      <c r="E24" s="7" t="s">
        <v>15</v>
      </c>
      <c r="F24" s="9" t="s">
        <v>162</v>
      </c>
      <c r="G24" s="9" t="s">
        <v>163</v>
      </c>
      <c r="H24" s="9" t="s">
        <v>164</v>
      </c>
      <c r="I24" s="9" t="s">
        <v>165</v>
      </c>
      <c r="J24" s="7" t="n">
        <v>60</v>
      </c>
    </row>
    <row r="25" customFormat="false" ht="23.85" hidden="false" customHeight="false" outlineLevel="0" collapsed="false">
      <c r="A25" s="7" t="s">
        <v>166</v>
      </c>
      <c r="B25" s="10" t="s">
        <v>62</v>
      </c>
      <c r="C25" s="7" t="s">
        <v>30</v>
      </c>
      <c r="D25" s="7" t="s">
        <v>86</v>
      </c>
      <c r="E25" s="7" t="s">
        <v>15</v>
      </c>
      <c r="F25" s="9" t="s">
        <v>167</v>
      </c>
      <c r="G25" s="9" t="s">
        <v>168</v>
      </c>
      <c r="H25" s="9" t="s">
        <v>169</v>
      </c>
      <c r="I25" s="9" t="s">
        <v>95</v>
      </c>
      <c r="J25" s="7" t="n">
        <v>68</v>
      </c>
    </row>
    <row r="26" customFormat="false" ht="23.85" hidden="false" customHeight="false" outlineLevel="0" collapsed="false">
      <c r="A26" s="7" t="s">
        <v>170</v>
      </c>
      <c r="B26" s="10" t="s">
        <v>62</v>
      </c>
      <c r="C26" s="7" t="s">
        <v>31</v>
      </c>
      <c r="D26" s="7" t="s">
        <v>131</v>
      </c>
      <c r="E26" s="7" t="s">
        <v>11</v>
      </c>
      <c r="F26" s="9" t="s">
        <v>171</v>
      </c>
      <c r="G26" s="9" t="s">
        <v>172</v>
      </c>
      <c r="H26" s="9" t="s">
        <v>173</v>
      </c>
      <c r="I26" s="9" t="s">
        <v>174</v>
      </c>
      <c r="J26" s="7" t="n">
        <v>36</v>
      </c>
    </row>
    <row r="27" customFormat="false" ht="35.05" hidden="false" customHeight="false" outlineLevel="0" collapsed="false">
      <c r="A27" s="7" t="s">
        <v>175</v>
      </c>
      <c r="B27" s="11" t="s">
        <v>176</v>
      </c>
      <c r="C27" s="7" t="s">
        <v>10</v>
      </c>
      <c r="D27" s="7" t="s">
        <v>108</v>
      </c>
      <c r="E27" s="7" t="s">
        <v>15</v>
      </c>
      <c r="F27" s="9" t="s">
        <v>177</v>
      </c>
      <c r="G27" s="9" t="s">
        <v>178</v>
      </c>
      <c r="H27" s="9" t="s">
        <v>179</v>
      </c>
      <c r="I27" s="9" t="s">
        <v>180</v>
      </c>
      <c r="J27" s="7" t="n">
        <v>301</v>
      </c>
    </row>
    <row r="28" customFormat="false" ht="35.05" hidden="false" customHeight="false" outlineLevel="0" collapsed="false">
      <c r="A28" s="7" t="s">
        <v>181</v>
      </c>
      <c r="B28" s="11" t="s">
        <v>176</v>
      </c>
      <c r="C28" s="7" t="s">
        <v>10</v>
      </c>
      <c r="D28" s="7" t="s">
        <v>86</v>
      </c>
      <c r="E28" s="7" t="s">
        <v>15</v>
      </c>
      <c r="F28" s="9" t="s">
        <v>182</v>
      </c>
      <c r="G28" s="9" t="s">
        <v>183</v>
      </c>
      <c r="H28" s="9" t="s">
        <v>184</v>
      </c>
      <c r="I28" s="9" t="s">
        <v>185</v>
      </c>
      <c r="J28" s="7" t="n">
        <v>42</v>
      </c>
    </row>
    <row r="29" customFormat="false" ht="23.85" hidden="false" customHeight="false" outlineLevel="0" collapsed="false">
      <c r="A29" s="7" t="s">
        <v>186</v>
      </c>
      <c r="B29" s="11" t="s">
        <v>176</v>
      </c>
      <c r="C29" s="7" t="s">
        <v>12</v>
      </c>
      <c r="D29" s="7" t="s">
        <v>108</v>
      </c>
      <c r="E29" s="7" t="s">
        <v>13</v>
      </c>
      <c r="F29" s="9" t="s">
        <v>187</v>
      </c>
      <c r="G29" s="9" t="s">
        <v>188</v>
      </c>
      <c r="H29" s="9" t="s">
        <v>189</v>
      </c>
      <c r="I29" s="9" t="s">
        <v>190</v>
      </c>
      <c r="J29" s="7"/>
    </row>
    <row r="30" customFormat="false" ht="35.05" hidden="false" customHeight="false" outlineLevel="0" collapsed="false">
      <c r="A30" s="7" t="s">
        <v>191</v>
      </c>
      <c r="B30" s="11" t="s">
        <v>176</v>
      </c>
      <c r="C30" s="7" t="s">
        <v>16</v>
      </c>
      <c r="D30" s="7" t="s">
        <v>131</v>
      </c>
      <c r="E30" s="7" t="s">
        <v>11</v>
      </c>
      <c r="F30" s="9" t="s">
        <v>192</v>
      </c>
      <c r="G30" s="9" t="s">
        <v>193</v>
      </c>
      <c r="H30" s="9" t="s">
        <v>194</v>
      </c>
      <c r="I30" s="9" t="s">
        <v>195</v>
      </c>
      <c r="J30" s="7" t="n">
        <v>71</v>
      </c>
    </row>
    <row r="31" customFormat="false" ht="35.05" hidden="false" customHeight="false" outlineLevel="0" collapsed="false">
      <c r="A31" s="7" t="s">
        <v>196</v>
      </c>
      <c r="B31" s="11" t="s">
        <v>176</v>
      </c>
      <c r="C31" s="7" t="s">
        <v>16</v>
      </c>
      <c r="D31" s="7" t="s">
        <v>197</v>
      </c>
      <c r="E31" s="7" t="s">
        <v>15</v>
      </c>
      <c r="F31" s="9" t="s">
        <v>198</v>
      </c>
      <c r="G31" s="9" t="s">
        <v>199</v>
      </c>
      <c r="H31" s="9" t="s">
        <v>200</v>
      </c>
      <c r="I31" s="9" t="s">
        <v>73</v>
      </c>
      <c r="J31" s="7" t="n">
        <v>588</v>
      </c>
    </row>
    <row r="32" customFormat="false" ht="35.05" hidden="false" customHeight="false" outlineLevel="0" collapsed="false">
      <c r="A32" s="7" t="s">
        <v>201</v>
      </c>
      <c r="B32" s="11" t="s">
        <v>176</v>
      </c>
      <c r="C32" s="7" t="s">
        <v>16</v>
      </c>
      <c r="D32" s="7" t="s">
        <v>202</v>
      </c>
      <c r="E32" s="7" t="s">
        <v>15</v>
      </c>
      <c r="F32" s="9" t="s">
        <v>203</v>
      </c>
      <c r="G32" s="9" t="s">
        <v>204</v>
      </c>
      <c r="H32" s="9" t="s">
        <v>205</v>
      </c>
      <c r="I32" s="9" t="s">
        <v>73</v>
      </c>
      <c r="J32" s="7" t="n">
        <v>345</v>
      </c>
    </row>
    <row r="33" customFormat="false" ht="35.05" hidden="false" customHeight="false" outlineLevel="0" collapsed="false">
      <c r="A33" s="7" t="s">
        <v>206</v>
      </c>
      <c r="B33" s="11" t="s">
        <v>176</v>
      </c>
      <c r="C33" s="7" t="s">
        <v>16</v>
      </c>
      <c r="D33" s="7" t="s">
        <v>207</v>
      </c>
      <c r="E33" s="7" t="s">
        <v>15</v>
      </c>
      <c r="F33" s="9" t="s">
        <v>208</v>
      </c>
      <c r="G33" s="9" t="s">
        <v>209</v>
      </c>
      <c r="H33" s="9" t="s">
        <v>210</v>
      </c>
      <c r="I33" s="9" t="s">
        <v>73</v>
      </c>
      <c r="J33" s="7" t="n">
        <v>575</v>
      </c>
    </row>
    <row r="34" customFormat="false" ht="23.85" hidden="false" customHeight="false" outlineLevel="0" collapsed="false">
      <c r="A34" s="7" t="s">
        <v>211</v>
      </c>
      <c r="B34" s="11" t="s">
        <v>176</v>
      </c>
      <c r="C34" s="7" t="s">
        <v>17</v>
      </c>
      <c r="D34" s="7" t="s">
        <v>212</v>
      </c>
      <c r="E34" s="7" t="s">
        <v>11</v>
      </c>
      <c r="F34" s="9" t="s">
        <v>213</v>
      </c>
      <c r="G34" s="9" t="s">
        <v>214</v>
      </c>
      <c r="H34" s="9" t="s">
        <v>215</v>
      </c>
      <c r="I34" s="9" t="s">
        <v>190</v>
      </c>
      <c r="J34" s="7" t="n">
        <v>283</v>
      </c>
    </row>
    <row r="35" customFormat="false" ht="35.05" hidden="false" customHeight="false" outlineLevel="0" collapsed="false">
      <c r="A35" s="7" t="s">
        <v>216</v>
      </c>
      <c r="B35" s="11" t="s">
        <v>176</v>
      </c>
      <c r="C35" s="7" t="s">
        <v>17</v>
      </c>
      <c r="D35" s="7" t="s">
        <v>212</v>
      </c>
      <c r="E35" s="7" t="s">
        <v>15</v>
      </c>
      <c r="F35" s="9" t="s">
        <v>217</v>
      </c>
      <c r="G35" s="9" t="s">
        <v>218</v>
      </c>
      <c r="H35" s="9" t="s">
        <v>219</v>
      </c>
      <c r="I35" s="9" t="s">
        <v>190</v>
      </c>
      <c r="J35" s="7" t="n">
        <v>283</v>
      </c>
    </row>
    <row r="36" customFormat="false" ht="23.85" hidden="false" customHeight="false" outlineLevel="0" collapsed="false">
      <c r="A36" s="7" t="s">
        <v>220</v>
      </c>
      <c r="B36" s="11" t="s">
        <v>176</v>
      </c>
      <c r="C36" s="7" t="s">
        <v>17</v>
      </c>
      <c r="D36" s="7" t="s">
        <v>221</v>
      </c>
      <c r="E36" s="7" t="s">
        <v>15</v>
      </c>
      <c r="F36" s="9" t="s">
        <v>222</v>
      </c>
      <c r="G36" s="9" t="s">
        <v>223</v>
      </c>
      <c r="H36" s="9" t="s">
        <v>224</v>
      </c>
      <c r="I36" s="9" t="s">
        <v>190</v>
      </c>
      <c r="J36" s="7" t="n">
        <v>192</v>
      </c>
    </row>
    <row r="37" customFormat="false" ht="23.85" hidden="false" customHeight="false" outlineLevel="0" collapsed="false">
      <c r="A37" s="7" t="s">
        <v>225</v>
      </c>
      <c r="B37" s="11" t="s">
        <v>176</v>
      </c>
      <c r="C37" s="7" t="s">
        <v>17</v>
      </c>
      <c r="D37" s="7" t="s">
        <v>108</v>
      </c>
      <c r="E37" s="7" t="s">
        <v>15</v>
      </c>
      <c r="F37" s="9" t="s">
        <v>226</v>
      </c>
      <c r="G37" s="9" t="s">
        <v>227</v>
      </c>
      <c r="H37" s="9" t="s">
        <v>228</v>
      </c>
      <c r="I37" s="9" t="s">
        <v>190</v>
      </c>
      <c r="J37" s="7" t="n">
        <v>330</v>
      </c>
    </row>
    <row r="38" customFormat="false" ht="35.05" hidden="false" customHeight="false" outlineLevel="0" collapsed="false">
      <c r="A38" s="7" t="s">
        <v>229</v>
      </c>
      <c r="B38" s="11" t="s">
        <v>176</v>
      </c>
      <c r="C38" s="7" t="s">
        <v>17</v>
      </c>
      <c r="D38" s="7" t="s">
        <v>102</v>
      </c>
      <c r="E38" s="7" t="s">
        <v>15</v>
      </c>
      <c r="F38" s="9" t="s">
        <v>230</v>
      </c>
      <c r="G38" s="9" t="s">
        <v>231</v>
      </c>
      <c r="H38" s="9" t="s">
        <v>232</v>
      </c>
      <c r="I38" s="9" t="s">
        <v>190</v>
      </c>
      <c r="J38" s="7" t="n">
        <v>422</v>
      </c>
    </row>
    <row r="39" customFormat="false" ht="35.05" hidden="false" customHeight="false" outlineLevel="0" collapsed="false">
      <c r="A39" s="7" t="s">
        <v>233</v>
      </c>
      <c r="B39" s="11" t="s">
        <v>176</v>
      </c>
      <c r="C39" s="7" t="s">
        <v>18</v>
      </c>
      <c r="D39" s="7" t="s">
        <v>234</v>
      </c>
      <c r="E39" s="7" t="s">
        <v>11</v>
      </c>
      <c r="F39" s="9" t="s">
        <v>235</v>
      </c>
      <c r="G39" s="9" t="s">
        <v>236</v>
      </c>
      <c r="H39" s="9" t="s">
        <v>237</v>
      </c>
      <c r="I39" s="9" t="s">
        <v>238</v>
      </c>
      <c r="J39" s="7" t="n">
        <v>92</v>
      </c>
    </row>
    <row r="40" customFormat="false" ht="23.85" hidden="false" customHeight="false" outlineLevel="0" collapsed="false">
      <c r="A40" s="7" t="s">
        <v>239</v>
      </c>
      <c r="B40" s="11" t="s">
        <v>176</v>
      </c>
      <c r="C40" s="7" t="s">
        <v>18</v>
      </c>
      <c r="D40" s="7" t="s">
        <v>108</v>
      </c>
      <c r="E40" s="7" t="s">
        <v>15</v>
      </c>
      <c r="F40" s="9" t="s">
        <v>240</v>
      </c>
      <c r="G40" s="9" t="s">
        <v>241</v>
      </c>
      <c r="H40" s="9" t="s">
        <v>242</v>
      </c>
      <c r="I40" s="9" t="s">
        <v>243</v>
      </c>
      <c r="J40" s="7" t="n">
        <v>85</v>
      </c>
    </row>
    <row r="41" customFormat="false" ht="35.05" hidden="false" customHeight="false" outlineLevel="0" collapsed="false">
      <c r="A41" s="7" t="s">
        <v>244</v>
      </c>
      <c r="B41" s="11" t="s">
        <v>176</v>
      </c>
      <c r="C41" s="7" t="s">
        <v>18</v>
      </c>
      <c r="D41" s="7" t="s">
        <v>245</v>
      </c>
      <c r="E41" s="7" t="s">
        <v>15</v>
      </c>
      <c r="F41" s="9" t="s">
        <v>246</v>
      </c>
      <c r="G41" s="9" t="s">
        <v>247</v>
      </c>
      <c r="H41" s="9" t="s">
        <v>248</v>
      </c>
      <c r="I41" s="9" t="s">
        <v>243</v>
      </c>
      <c r="J41" s="7" t="n">
        <v>60</v>
      </c>
    </row>
    <row r="42" customFormat="false" ht="35.05" hidden="false" customHeight="false" outlineLevel="0" collapsed="false">
      <c r="A42" s="7" t="s">
        <v>249</v>
      </c>
      <c r="B42" s="11" t="s">
        <v>176</v>
      </c>
      <c r="C42" s="7" t="s">
        <v>18</v>
      </c>
      <c r="D42" s="7" t="s">
        <v>86</v>
      </c>
      <c r="E42" s="7" t="s">
        <v>15</v>
      </c>
      <c r="F42" s="9" t="s">
        <v>250</v>
      </c>
      <c r="G42" s="9" t="s">
        <v>251</v>
      </c>
      <c r="H42" s="9" t="s">
        <v>252</v>
      </c>
      <c r="I42" s="9" t="s">
        <v>90</v>
      </c>
      <c r="J42" s="7" t="n">
        <v>87</v>
      </c>
    </row>
    <row r="43" customFormat="false" ht="23.85" hidden="false" customHeight="false" outlineLevel="0" collapsed="false">
      <c r="A43" s="7" t="s">
        <v>253</v>
      </c>
      <c r="B43" s="11" t="s">
        <v>176</v>
      </c>
      <c r="C43" s="7" t="s">
        <v>19</v>
      </c>
      <c r="D43" s="7" t="s">
        <v>131</v>
      </c>
      <c r="E43" s="7" t="s">
        <v>11</v>
      </c>
      <c r="F43" s="9" t="s">
        <v>254</v>
      </c>
      <c r="G43" s="9" t="s">
        <v>255</v>
      </c>
      <c r="H43" s="9" t="s">
        <v>256</v>
      </c>
      <c r="I43" s="9" t="s">
        <v>257</v>
      </c>
      <c r="J43" s="7" t="n">
        <v>234</v>
      </c>
    </row>
    <row r="44" customFormat="false" ht="46.25" hidden="false" customHeight="false" outlineLevel="0" collapsed="false">
      <c r="A44" s="7" t="s">
        <v>258</v>
      </c>
      <c r="B44" s="11" t="s">
        <v>176</v>
      </c>
      <c r="C44" s="7" t="s">
        <v>19</v>
      </c>
      <c r="D44" s="7" t="s">
        <v>259</v>
      </c>
      <c r="E44" s="7" t="s">
        <v>13</v>
      </c>
      <c r="F44" s="9" t="s">
        <v>260</v>
      </c>
      <c r="G44" s="9" t="s">
        <v>261</v>
      </c>
      <c r="H44" s="9" t="s">
        <v>262</v>
      </c>
      <c r="I44" s="9" t="s">
        <v>263</v>
      </c>
      <c r="J44" s="7"/>
    </row>
    <row r="45" customFormat="false" ht="35.05" hidden="false" customHeight="false" outlineLevel="0" collapsed="false">
      <c r="A45" s="7" t="s">
        <v>264</v>
      </c>
      <c r="B45" s="11" t="s">
        <v>176</v>
      </c>
      <c r="C45" s="7" t="s">
        <v>19</v>
      </c>
      <c r="D45" s="7" t="s">
        <v>265</v>
      </c>
      <c r="E45" s="7" t="s">
        <v>15</v>
      </c>
      <c r="F45" s="9" t="s">
        <v>266</v>
      </c>
      <c r="G45" s="9" t="s">
        <v>267</v>
      </c>
      <c r="H45" s="9" t="s">
        <v>268</v>
      </c>
      <c r="I45" s="9" t="s">
        <v>269</v>
      </c>
      <c r="J45" s="7" t="n">
        <v>72</v>
      </c>
    </row>
    <row r="46" customFormat="false" ht="35.05" hidden="false" customHeight="false" outlineLevel="0" collapsed="false">
      <c r="A46" s="7" t="s">
        <v>270</v>
      </c>
      <c r="B46" s="11" t="s">
        <v>176</v>
      </c>
      <c r="C46" s="7" t="s">
        <v>20</v>
      </c>
      <c r="D46" s="7" t="s">
        <v>197</v>
      </c>
      <c r="E46" s="7" t="s">
        <v>15</v>
      </c>
      <c r="F46" s="9" t="s">
        <v>271</v>
      </c>
      <c r="G46" s="9" t="s">
        <v>272</v>
      </c>
      <c r="H46" s="9" t="s">
        <v>273</v>
      </c>
      <c r="I46" s="9" t="s">
        <v>95</v>
      </c>
      <c r="J46" s="7" t="n">
        <v>290</v>
      </c>
    </row>
    <row r="47" customFormat="false" ht="46.25" hidden="false" customHeight="false" outlineLevel="0" collapsed="false">
      <c r="A47" s="7" t="s">
        <v>274</v>
      </c>
      <c r="B47" s="11" t="s">
        <v>176</v>
      </c>
      <c r="C47" s="7" t="s">
        <v>21</v>
      </c>
      <c r="D47" s="7" t="s">
        <v>44</v>
      </c>
      <c r="E47" s="7" t="s">
        <v>11</v>
      </c>
      <c r="F47" s="9" t="s">
        <v>275</v>
      </c>
      <c r="G47" s="9" t="s">
        <v>276</v>
      </c>
      <c r="H47" s="9" t="s">
        <v>277</v>
      </c>
      <c r="I47" s="9" t="s">
        <v>278</v>
      </c>
      <c r="J47" s="7" t="n">
        <v>119</v>
      </c>
    </row>
    <row r="48" customFormat="false" ht="46.25" hidden="false" customHeight="false" outlineLevel="0" collapsed="false">
      <c r="A48" s="7" t="s">
        <v>279</v>
      </c>
      <c r="B48" s="11" t="s">
        <v>176</v>
      </c>
      <c r="C48" s="7" t="s">
        <v>21</v>
      </c>
      <c r="D48" s="7" t="s">
        <v>245</v>
      </c>
      <c r="E48" s="7" t="s">
        <v>13</v>
      </c>
      <c r="F48" s="9" t="s">
        <v>280</v>
      </c>
      <c r="G48" s="9" t="s">
        <v>281</v>
      </c>
      <c r="H48" s="9" t="s">
        <v>282</v>
      </c>
      <c r="I48" s="9" t="s">
        <v>283</v>
      </c>
      <c r="J48" s="7" t="n">
        <v>20</v>
      </c>
    </row>
    <row r="49" customFormat="false" ht="35.05" hidden="false" customHeight="false" outlineLevel="0" collapsed="false">
      <c r="A49" s="7" t="s">
        <v>284</v>
      </c>
      <c r="B49" s="11" t="s">
        <v>176</v>
      </c>
      <c r="C49" s="7" t="s">
        <v>21</v>
      </c>
      <c r="D49" s="7" t="s">
        <v>245</v>
      </c>
      <c r="E49" s="7" t="s">
        <v>13</v>
      </c>
      <c r="F49" s="9" t="s">
        <v>285</v>
      </c>
      <c r="G49" s="9" t="s">
        <v>286</v>
      </c>
      <c r="H49" s="9" t="s">
        <v>287</v>
      </c>
      <c r="I49" s="9" t="s">
        <v>288</v>
      </c>
      <c r="J49" s="7"/>
    </row>
    <row r="50" customFormat="false" ht="46.25" hidden="false" customHeight="false" outlineLevel="0" collapsed="false">
      <c r="A50" s="7" t="s">
        <v>289</v>
      </c>
      <c r="B50" s="11" t="s">
        <v>176</v>
      </c>
      <c r="C50" s="7" t="s">
        <v>21</v>
      </c>
      <c r="D50" s="7" t="s">
        <v>265</v>
      </c>
      <c r="E50" s="7" t="s">
        <v>15</v>
      </c>
      <c r="F50" s="9" t="s">
        <v>290</v>
      </c>
      <c r="G50" s="9" t="s">
        <v>291</v>
      </c>
      <c r="H50" s="9" t="s">
        <v>292</v>
      </c>
      <c r="I50" s="9" t="s">
        <v>293</v>
      </c>
      <c r="J50" s="7" t="n">
        <v>96</v>
      </c>
    </row>
    <row r="51" customFormat="false" ht="35.05" hidden="false" customHeight="false" outlineLevel="0" collapsed="false">
      <c r="A51" s="7" t="s">
        <v>294</v>
      </c>
      <c r="B51" s="11" t="s">
        <v>176</v>
      </c>
      <c r="C51" s="7" t="s">
        <v>21</v>
      </c>
      <c r="D51" s="7" t="s">
        <v>245</v>
      </c>
      <c r="E51" s="7" t="s">
        <v>15</v>
      </c>
      <c r="F51" s="9" t="s">
        <v>295</v>
      </c>
      <c r="G51" s="9" t="s">
        <v>296</v>
      </c>
      <c r="H51" s="9" t="s">
        <v>297</v>
      </c>
      <c r="I51" s="9" t="s">
        <v>293</v>
      </c>
      <c r="J51" s="7" t="n">
        <v>50</v>
      </c>
    </row>
    <row r="52" customFormat="false" ht="46.25" hidden="false" customHeight="false" outlineLevel="0" collapsed="false">
      <c r="A52" s="7" t="s">
        <v>298</v>
      </c>
      <c r="B52" s="11" t="s">
        <v>176</v>
      </c>
      <c r="C52" s="7" t="s">
        <v>130</v>
      </c>
      <c r="D52" s="7" t="s">
        <v>212</v>
      </c>
      <c r="E52" s="7" t="s">
        <v>11</v>
      </c>
      <c r="F52" s="9" t="s">
        <v>299</v>
      </c>
      <c r="G52" s="9" t="s">
        <v>300</v>
      </c>
      <c r="H52" s="9" t="s">
        <v>301</v>
      </c>
      <c r="I52" s="9" t="s">
        <v>302</v>
      </c>
      <c r="J52" s="7" t="n">
        <v>40</v>
      </c>
    </row>
    <row r="53" customFormat="false" ht="35.05" hidden="false" customHeight="false" outlineLevel="0" collapsed="false">
      <c r="A53" s="7" t="s">
        <v>303</v>
      </c>
      <c r="B53" s="11" t="s">
        <v>176</v>
      </c>
      <c r="C53" s="7" t="s">
        <v>130</v>
      </c>
      <c r="D53" s="7" t="s">
        <v>212</v>
      </c>
      <c r="E53" s="7" t="s">
        <v>15</v>
      </c>
      <c r="F53" s="9" t="s">
        <v>304</v>
      </c>
      <c r="G53" s="9" t="s">
        <v>305</v>
      </c>
      <c r="H53" s="9" t="s">
        <v>306</v>
      </c>
      <c r="I53" s="9" t="s">
        <v>302</v>
      </c>
      <c r="J53" s="7" t="n">
        <v>40</v>
      </c>
    </row>
    <row r="54" customFormat="false" ht="35.05" hidden="false" customHeight="false" outlineLevel="0" collapsed="false">
      <c r="A54" s="7" t="s">
        <v>307</v>
      </c>
      <c r="B54" s="11" t="s">
        <v>176</v>
      </c>
      <c r="C54" s="7" t="s">
        <v>130</v>
      </c>
      <c r="D54" s="7" t="s">
        <v>197</v>
      </c>
      <c r="E54" s="7" t="s">
        <v>15</v>
      </c>
      <c r="F54" s="9" t="s">
        <v>308</v>
      </c>
      <c r="G54" s="9" t="s">
        <v>309</v>
      </c>
      <c r="H54" s="9" t="s">
        <v>310</v>
      </c>
      <c r="I54" s="9" t="s">
        <v>311</v>
      </c>
      <c r="J54" s="7" t="n">
        <v>41</v>
      </c>
    </row>
    <row r="55" customFormat="false" ht="46.25" hidden="false" customHeight="false" outlineLevel="0" collapsed="false">
      <c r="A55" s="7" t="s">
        <v>312</v>
      </c>
      <c r="B55" s="11" t="s">
        <v>176</v>
      </c>
      <c r="C55" s="7" t="s">
        <v>130</v>
      </c>
      <c r="D55" s="7" t="s">
        <v>197</v>
      </c>
      <c r="E55" s="7" t="s">
        <v>15</v>
      </c>
      <c r="F55" s="9" t="s">
        <v>313</v>
      </c>
      <c r="G55" s="9" t="s">
        <v>314</v>
      </c>
      <c r="H55" s="9" t="s">
        <v>315</v>
      </c>
      <c r="I55" s="9" t="s">
        <v>316</v>
      </c>
      <c r="J55" s="7" t="n">
        <v>254</v>
      </c>
    </row>
    <row r="56" customFormat="false" ht="23.85" hidden="false" customHeight="false" outlineLevel="0" collapsed="false">
      <c r="A56" s="7" t="s">
        <v>317</v>
      </c>
      <c r="B56" s="11" t="s">
        <v>176</v>
      </c>
      <c r="C56" s="7" t="s">
        <v>318</v>
      </c>
      <c r="D56" s="7" t="s">
        <v>86</v>
      </c>
      <c r="E56" s="7" t="s">
        <v>15</v>
      </c>
      <c r="F56" s="9" t="s">
        <v>319</v>
      </c>
      <c r="G56" s="9" t="s">
        <v>320</v>
      </c>
      <c r="H56" s="9" t="s">
        <v>321</v>
      </c>
      <c r="I56" s="9" t="s">
        <v>322</v>
      </c>
      <c r="J56" s="7" t="n">
        <v>40</v>
      </c>
    </row>
    <row r="57" customFormat="false" ht="35.05" hidden="false" customHeight="false" outlineLevel="0" collapsed="false">
      <c r="A57" s="7" t="s">
        <v>323</v>
      </c>
      <c r="B57" s="11" t="s">
        <v>176</v>
      </c>
      <c r="C57" s="7" t="s">
        <v>27</v>
      </c>
      <c r="D57" s="7" t="s">
        <v>69</v>
      </c>
      <c r="E57" s="7" t="s">
        <v>15</v>
      </c>
      <c r="F57" s="9" t="s">
        <v>324</v>
      </c>
      <c r="G57" s="9" t="s">
        <v>325</v>
      </c>
      <c r="H57" s="9" t="s">
        <v>326</v>
      </c>
      <c r="I57" s="9" t="s">
        <v>159</v>
      </c>
      <c r="J57" s="7" t="n">
        <v>1064</v>
      </c>
    </row>
    <row r="58" customFormat="false" ht="35.05" hidden="false" customHeight="false" outlineLevel="0" collapsed="false">
      <c r="A58" s="7" t="s">
        <v>327</v>
      </c>
      <c r="B58" s="11" t="s">
        <v>176</v>
      </c>
      <c r="C58" s="7" t="s">
        <v>27</v>
      </c>
      <c r="D58" s="7" t="s">
        <v>108</v>
      </c>
      <c r="E58" s="7" t="s">
        <v>15</v>
      </c>
      <c r="F58" s="9" t="s">
        <v>328</v>
      </c>
      <c r="G58" s="9" t="s">
        <v>329</v>
      </c>
      <c r="H58" s="9" t="s">
        <v>330</v>
      </c>
      <c r="I58" s="9" t="s">
        <v>159</v>
      </c>
      <c r="J58" s="7" t="n">
        <v>1062</v>
      </c>
    </row>
    <row r="59" customFormat="false" ht="35.05" hidden="false" customHeight="false" outlineLevel="0" collapsed="false">
      <c r="A59" s="7" t="s">
        <v>331</v>
      </c>
      <c r="B59" s="11" t="s">
        <v>176</v>
      </c>
      <c r="C59" s="7" t="s">
        <v>28</v>
      </c>
      <c r="D59" s="7" t="s">
        <v>108</v>
      </c>
      <c r="E59" s="7" t="s">
        <v>13</v>
      </c>
      <c r="F59" s="9" t="s">
        <v>332</v>
      </c>
      <c r="G59" s="9" t="s">
        <v>333</v>
      </c>
      <c r="H59" s="9" t="s">
        <v>334</v>
      </c>
      <c r="I59" s="9" t="s">
        <v>335</v>
      </c>
      <c r="J59" s="7"/>
    </row>
    <row r="60" customFormat="false" ht="23.85" hidden="false" customHeight="false" outlineLevel="0" collapsed="false">
      <c r="A60" s="7" t="s">
        <v>336</v>
      </c>
      <c r="B60" s="11" t="s">
        <v>176</v>
      </c>
      <c r="C60" s="7" t="s">
        <v>28</v>
      </c>
      <c r="D60" s="7" t="s">
        <v>108</v>
      </c>
      <c r="E60" s="7" t="s">
        <v>13</v>
      </c>
      <c r="F60" s="9" t="s">
        <v>337</v>
      </c>
      <c r="G60" s="9" t="s">
        <v>338</v>
      </c>
      <c r="H60" s="9" t="s">
        <v>339</v>
      </c>
      <c r="I60" s="9" t="s">
        <v>340</v>
      </c>
      <c r="J60" s="7"/>
    </row>
    <row r="61" customFormat="false" ht="46.25" hidden="false" customHeight="false" outlineLevel="0" collapsed="false">
      <c r="A61" s="7" t="s">
        <v>341</v>
      </c>
      <c r="B61" s="11" t="s">
        <v>176</v>
      </c>
      <c r="C61" s="7" t="s">
        <v>29</v>
      </c>
      <c r="D61" s="7" t="s">
        <v>44</v>
      </c>
      <c r="E61" s="7" t="s">
        <v>11</v>
      </c>
      <c r="F61" s="9" t="s">
        <v>342</v>
      </c>
      <c r="G61" s="9" t="s">
        <v>343</v>
      </c>
      <c r="H61" s="9" t="s">
        <v>344</v>
      </c>
      <c r="I61" s="9" t="s">
        <v>345</v>
      </c>
      <c r="J61" s="7" t="n">
        <v>50</v>
      </c>
    </row>
    <row r="62" customFormat="false" ht="35.05" hidden="false" customHeight="false" outlineLevel="0" collapsed="false">
      <c r="A62" s="7" t="s">
        <v>346</v>
      </c>
      <c r="B62" s="11" t="s">
        <v>176</v>
      </c>
      <c r="C62" s="7" t="s">
        <v>29</v>
      </c>
      <c r="D62" s="7" t="s">
        <v>245</v>
      </c>
      <c r="E62" s="7" t="s">
        <v>11</v>
      </c>
      <c r="F62" s="9" t="s">
        <v>347</v>
      </c>
      <c r="G62" s="9" t="s">
        <v>348</v>
      </c>
      <c r="H62" s="9" t="s">
        <v>349</v>
      </c>
      <c r="I62" s="9" t="s">
        <v>165</v>
      </c>
      <c r="J62" s="7" t="n">
        <v>154</v>
      </c>
    </row>
    <row r="63" customFormat="false" ht="46.25" hidden="false" customHeight="false" outlineLevel="0" collapsed="false">
      <c r="A63" s="7" t="s">
        <v>350</v>
      </c>
      <c r="B63" s="11" t="s">
        <v>176</v>
      </c>
      <c r="C63" s="7" t="s">
        <v>29</v>
      </c>
      <c r="D63" s="7" t="s">
        <v>351</v>
      </c>
      <c r="E63" s="7" t="s">
        <v>11</v>
      </c>
      <c r="F63" s="9" t="s">
        <v>352</v>
      </c>
      <c r="G63" s="9" t="s">
        <v>353</v>
      </c>
      <c r="H63" s="9" t="s">
        <v>354</v>
      </c>
      <c r="I63" s="9" t="s">
        <v>355</v>
      </c>
      <c r="J63" s="7" t="n">
        <v>90</v>
      </c>
    </row>
    <row r="64" customFormat="false" ht="35.05" hidden="false" customHeight="false" outlineLevel="0" collapsed="false">
      <c r="A64" s="7" t="s">
        <v>356</v>
      </c>
      <c r="B64" s="11" t="s">
        <v>176</v>
      </c>
      <c r="C64" s="7" t="s">
        <v>29</v>
      </c>
      <c r="D64" s="7" t="s">
        <v>86</v>
      </c>
      <c r="E64" s="7" t="s">
        <v>15</v>
      </c>
      <c r="F64" s="9" t="s">
        <v>357</v>
      </c>
      <c r="G64" s="9" t="s">
        <v>358</v>
      </c>
      <c r="H64" s="9" t="s">
        <v>359</v>
      </c>
      <c r="I64" s="9" t="s">
        <v>165</v>
      </c>
      <c r="J64" s="7" t="n">
        <v>137</v>
      </c>
    </row>
    <row r="65" customFormat="false" ht="35.05" hidden="false" customHeight="false" outlineLevel="0" collapsed="false">
      <c r="A65" s="7" t="s">
        <v>360</v>
      </c>
      <c r="B65" s="11" t="s">
        <v>176</v>
      </c>
      <c r="C65" s="7" t="s">
        <v>30</v>
      </c>
      <c r="D65" s="7" t="s">
        <v>234</v>
      </c>
      <c r="E65" s="7" t="s">
        <v>11</v>
      </c>
      <c r="F65" s="9" t="s">
        <v>361</v>
      </c>
      <c r="G65" s="9" t="s">
        <v>362</v>
      </c>
      <c r="H65" s="9" t="s">
        <v>363</v>
      </c>
      <c r="I65" s="9" t="s">
        <v>364</v>
      </c>
      <c r="J65" s="7" t="n">
        <v>36</v>
      </c>
    </row>
    <row r="66" customFormat="false" ht="23.85" hidden="false" customHeight="false" outlineLevel="0" collapsed="false">
      <c r="A66" s="7" t="s">
        <v>365</v>
      </c>
      <c r="B66" s="11" t="s">
        <v>176</v>
      </c>
      <c r="C66" s="7" t="s">
        <v>31</v>
      </c>
      <c r="D66" s="7" t="s">
        <v>131</v>
      </c>
      <c r="E66" s="7" t="s">
        <v>11</v>
      </c>
      <c r="F66" s="9" t="s">
        <v>366</v>
      </c>
      <c r="G66" s="9" t="s">
        <v>367</v>
      </c>
      <c r="H66" s="9" t="s">
        <v>368</v>
      </c>
      <c r="I66" s="9" t="s">
        <v>369</v>
      </c>
      <c r="J66" s="7" t="n">
        <v>41</v>
      </c>
    </row>
    <row r="67" customFormat="false" ht="23.85" hidden="false" customHeight="false" outlineLevel="0" collapsed="false">
      <c r="A67" s="7" t="s">
        <v>370</v>
      </c>
      <c r="B67" s="11" t="s">
        <v>176</v>
      </c>
      <c r="C67" s="7" t="s">
        <v>31</v>
      </c>
      <c r="D67" s="7" t="s">
        <v>131</v>
      </c>
      <c r="E67" s="7" t="s">
        <v>11</v>
      </c>
      <c r="F67" s="9" t="s">
        <v>371</v>
      </c>
      <c r="G67" s="9" t="s">
        <v>372</v>
      </c>
      <c r="H67" s="9" t="s">
        <v>373</v>
      </c>
      <c r="I67" s="9" t="s">
        <v>374</v>
      </c>
      <c r="J67" s="7" t="n">
        <v>35</v>
      </c>
    </row>
    <row r="68" customFormat="false" ht="35.05" hidden="false" customHeight="false" outlineLevel="0" collapsed="false">
      <c r="A68" s="7" t="s">
        <v>375</v>
      </c>
      <c r="B68" s="11" t="s">
        <v>176</v>
      </c>
      <c r="C68" s="7" t="s">
        <v>31</v>
      </c>
      <c r="D68" s="7" t="s">
        <v>197</v>
      </c>
      <c r="E68" s="7" t="s">
        <v>15</v>
      </c>
      <c r="F68" s="9" t="s">
        <v>376</v>
      </c>
      <c r="G68" s="9" t="s">
        <v>377</v>
      </c>
      <c r="H68" s="9" t="s">
        <v>378</v>
      </c>
      <c r="I68" s="9" t="s">
        <v>379</v>
      </c>
      <c r="J68" s="7" t="n">
        <v>759</v>
      </c>
    </row>
    <row r="69" customFormat="false" ht="35.05" hidden="false" customHeight="false" outlineLevel="0" collapsed="false">
      <c r="A69" s="7" t="s">
        <v>380</v>
      </c>
      <c r="B69" s="11" t="s">
        <v>176</v>
      </c>
      <c r="C69" s="7" t="s">
        <v>31</v>
      </c>
      <c r="D69" s="7" t="s">
        <v>63</v>
      </c>
      <c r="E69" s="7" t="s">
        <v>15</v>
      </c>
      <c r="F69" s="9" t="s">
        <v>381</v>
      </c>
      <c r="G69" s="9" t="s">
        <v>382</v>
      </c>
      <c r="H69" s="9" t="s">
        <v>383</v>
      </c>
      <c r="I69" s="9" t="s">
        <v>379</v>
      </c>
      <c r="J69" s="7" t="n">
        <v>785</v>
      </c>
    </row>
    <row r="70" customFormat="false" ht="35.05" hidden="false" customHeight="false" outlineLevel="0" collapsed="false">
      <c r="A70" s="7" t="s">
        <v>384</v>
      </c>
      <c r="B70" s="11" t="s">
        <v>176</v>
      </c>
      <c r="C70" s="7" t="s">
        <v>31</v>
      </c>
      <c r="D70" s="7" t="s">
        <v>197</v>
      </c>
      <c r="E70" s="7" t="s">
        <v>15</v>
      </c>
      <c r="F70" s="9" t="s">
        <v>385</v>
      </c>
      <c r="G70" s="9" t="s">
        <v>386</v>
      </c>
      <c r="H70" s="9" t="s">
        <v>387</v>
      </c>
      <c r="I70" s="9" t="s">
        <v>379</v>
      </c>
      <c r="J70" s="7" t="n">
        <v>422</v>
      </c>
    </row>
    <row r="71" customFormat="false" ht="35.05" hidden="false" customHeight="false" outlineLevel="0" collapsed="false">
      <c r="A71" s="7" t="s">
        <v>388</v>
      </c>
      <c r="B71" s="12" t="s">
        <v>389</v>
      </c>
      <c r="C71" s="7" t="s">
        <v>10</v>
      </c>
      <c r="D71" s="7" t="s">
        <v>207</v>
      </c>
      <c r="E71" s="7" t="s">
        <v>15</v>
      </c>
      <c r="F71" s="9" t="s">
        <v>390</v>
      </c>
      <c r="G71" s="9" t="s">
        <v>391</v>
      </c>
      <c r="H71" s="9" t="s">
        <v>392</v>
      </c>
      <c r="I71" s="9" t="s">
        <v>185</v>
      </c>
      <c r="J71" s="7" t="n">
        <v>21</v>
      </c>
    </row>
    <row r="72" customFormat="false" ht="35.05" hidden="false" customHeight="false" outlineLevel="0" collapsed="false">
      <c r="A72" s="7" t="s">
        <v>393</v>
      </c>
      <c r="B72" s="12" t="s">
        <v>389</v>
      </c>
      <c r="C72" s="7" t="s">
        <v>14</v>
      </c>
      <c r="D72" s="7" t="s">
        <v>161</v>
      </c>
      <c r="E72" s="7" t="s">
        <v>15</v>
      </c>
      <c r="F72" s="9" t="s">
        <v>394</v>
      </c>
      <c r="G72" s="9" t="s">
        <v>395</v>
      </c>
      <c r="H72" s="9" t="s">
        <v>396</v>
      </c>
      <c r="I72" s="9" t="s">
        <v>67</v>
      </c>
      <c r="J72" s="7" t="n">
        <v>33</v>
      </c>
    </row>
    <row r="73" customFormat="false" ht="23.85" hidden="false" customHeight="false" outlineLevel="0" collapsed="false">
      <c r="A73" s="7" t="s">
        <v>397</v>
      </c>
      <c r="B73" s="12" t="s">
        <v>389</v>
      </c>
      <c r="C73" s="7" t="s">
        <v>16</v>
      </c>
      <c r="D73" s="7" t="s">
        <v>212</v>
      </c>
      <c r="E73" s="7" t="s">
        <v>11</v>
      </c>
      <c r="F73" s="9" t="s">
        <v>398</v>
      </c>
      <c r="G73" s="9" t="s">
        <v>399</v>
      </c>
      <c r="H73" s="9" t="s">
        <v>400</v>
      </c>
      <c r="I73" s="9" t="s">
        <v>401</v>
      </c>
      <c r="J73" s="7" t="n">
        <v>31</v>
      </c>
    </row>
    <row r="74" customFormat="false" ht="35.05" hidden="false" customHeight="false" outlineLevel="0" collapsed="false">
      <c r="A74" s="7" t="s">
        <v>402</v>
      </c>
      <c r="B74" s="12" t="s">
        <v>389</v>
      </c>
      <c r="C74" s="7" t="s">
        <v>18</v>
      </c>
      <c r="D74" s="7" t="s">
        <v>245</v>
      </c>
      <c r="E74" s="7" t="s">
        <v>15</v>
      </c>
      <c r="F74" s="9" t="s">
        <v>403</v>
      </c>
      <c r="G74" s="9" t="s">
        <v>404</v>
      </c>
      <c r="H74" s="9" t="s">
        <v>405</v>
      </c>
      <c r="I74" s="9" t="s">
        <v>406</v>
      </c>
      <c r="J74" s="7" t="n">
        <v>113</v>
      </c>
    </row>
    <row r="75" customFormat="false" ht="35.05" hidden="false" customHeight="false" outlineLevel="0" collapsed="false">
      <c r="A75" s="7" t="s">
        <v>407</v>
      </c>
      <c r="B75" s="12" t="s">
        <v>389</v>
      </c>
      <c r="C75" s="7" t="s">
        <v>19</v>
      </c>
      <c r="D75" s="7" t="s">
        <v>245</v>
      </c>
      <c r="E75" s="7" t="s">
        <v>11</v>
      </c>
      <c r="F75" s="9" t="s">
        <v>408</v>
      </c>
      <c r="G75" s="9" t="s">
        <v>409</v>
      </c>
      <c r="H75" s="9" t="s">
        <v>410</v>
      </c>
      <c r="I75" s="9" t="s">
        <v>411</v>
      </c>
      <c r="J75" s="7" t="n">
        <v>78</v>
      </c>
    </row>
    <row r="76" customFormat="false" ht="23.85" hidden="false" customHeight="false" outlineLevel="0" collapsed="false">
      <c r="A76" s="7" t="s">
        <v>412</v>
      </c>
      <c r="B76" s="12" t="s">
        <v>389</v>
      </c>
      <c r="C76" s="7" t="s">
        <v>19</v>
      </c>
      <c r="D76" s="7" t="s">
        <v>212</v>
      </c>
      <c r="E76" s="7" t="s">
        <v>11</v>
      </c>
      <c r="F76" s="9" t="s">
        <v>413</v>
      </c>
      <c r="G76" s="9" t="s">
        <v>414</v>
      </c>
      <c r="H76" s="9" t="s">
        <v>415</v>
      </c>
      <c r="I76" s="9" t="s">
        <v>416</v>
      </c>
      <c r="J76" s="7" t="n">
        <v>99</v>
      </c>
    </row>
    <row r="77" customFormat="false" ht="35.05" hidden="false" customHeight="false" outlineLevel="0" collapsed="false">
      <c r="A77" s="7" t="s">
        <v>417</v>
      </c>
      <c r="B77" s="12" t="s">
        <v>389</v>
      </c>
      <c r="C77" s="7" t="s">
        <v>19</v>
      </c>
      <c r="D77" s="7" t="s">
        <v>259</v>
      </c>
      <c r="E77" s="7" t="s">
        <v>13</v>
      </c>
      <c r="F77" s="9" t="s">
        <v>418</v>
      </c>
      <c r="G77" s="9" t="s">
        <v>419</v>
      </c>
      <c r="H77" s="9" t="s">
        <v>420</v>
      </c>
      <c r="I77" s="9" t="s">
        <v>421</v>
      </c>
      <c r="J77" s="7"/>
    </row>
    <row r="78" customFormat="false" ht="23.85" hidden="false" customHeight="false" outlineLevel="0" collapsed="false">
      <c r="A78" s="7" t="s">
        <v>422</v>
      </c>
      <c r="B78" s="12" t="s">
        <v>389</v>
      </c>
      <c r="C78" s="7" t="s">
        <v>19</v>
      </c>
      <c r="D78" s="7" t="s">
        <v>212</v>
      </c>
      <c r="E78" s="7" t="s">
        <v>15</v>
      </c>
      <c r="F78" s="9" t="s">
        <v>423</v>
      </c>
      <c r="G78" s="9" t="s">
        <v>424</v>
      </c>
      <c r="H78" s="9" t="s">
        <v>425</v>
      </c>
      <c r="I78" s="9" t="s">
        <v>416</v>
      </c>
      <c r="J78" s="7" t="n">
        <v>99</v>
      </c>
    </row>
    <row r="79" customFormat="false" ht="35.05" hidden="false" customHeight="false" outlineLevel="0" collapsed="false">
      <c r="A79" s="7" t="s">
        <v>426</v>
      </c>
      <c r="B79" s="12" t="s">
        <v>389</v>
      </c>
      <c r="C79" s="7" t="s">
        <v>21</v>
      </c>
      <c r="D79" s="7" t="s">
        <v>245</v>
      </c>
      <c r="E79" s="7" t="s">
        <v>11</v>
      </c>
      <c r="F79" s="9" t="s">
        <v>427</v>
      </c>
      <c r="G79" s="9" t="s">
        <v>428</v>
      </c>
      <c r="H79" s="9" t="s">
        <v>429</v>
      </c>
      <c r="I79" s="9" t="s">
        <v>90</v>
      </c>
      <c r="J79" s="7" t="n">
        <v>56</v>
      </c>
    </row>
    <row r="80" customFormat="false" ht="35.05" hidden="false" customHeight="false" outlineLevel="0" collapsed="false">
      <c r="A80" s="7" t="s">
        <v>430</v>
      </c>
      <c r="B80" s="12" t="s">
        <v>389</v>
      </c>
      <c r="C80" s="7" t="s">
        <v>21</v>
      </c>
      <c r="D80" s="7" t="s">
        <v>245</v>
      </c>
      <c r="E80" s="7" t="s">
        <v>13</v>
      </c>
      <c r="F80" s="9" t="s">
        <v>431</v>
      </c>
      <c r="G80" s="9" t="s">
        <v>432</v>
      </c>
      <c r="H80" s="9" t="s">
        <v>433</v>
      </c>
      <c r="I80" s="9" t="s">
        <v>434</v>
      </c>
      <c r="J80" s="7"/>
    </row>
    <row r="81" customFormat="false" ht="35.05" hidden="false" customHeight="false" outlineLevel="0" collapsed="false">
      <c r="A81" s="7" t="s">
        <v>435</v>
      </c>
      <c r="B81" s="12" t="s">
        <v>389</v>
      </c>
      <c r="C81" s="7" t="s">
        <v>21</v>
      </c>
      <c r="D81" s="7" t="s">
        <v>436</v>
      </c>
      <c r="E81" s="7" t="s">
        <v>13</v>
      </c>
      <c r="F81" s="9" t="s">
        <v>437</v>
      </c>
      <c r="G81" s="9" t="s">
        <v>438</v>
      </c>
      <c r="H81" s="9" t="s">
        <v>439</v>
      </c>
      <c r="I81" s="9" t="s">
        <v>440</v>
      </c>
      <c r="J81" s="7"/>
    </row>
    <row r="82" customFormat="false" ht="23.85" hidden="false" customHeight="false" outlineLevel="0" collapsed="false">
      <c r="A82" s="7" t="s">
        <v>441</v>
      </c>
      <c r="B82" s="12" t="s">
        <v>389</v>
      </c>
      <c r="C82" s="7" t="s">
        <v>21</v>
      </c>
      <c r="D82" s="7" t="s">
        <v>436</v>
      </c>
      <c r="E82" s="7" t="s">
        <v>13</v>
      </c>
      <c r="F82" s="9" t="s">
        <v>442</v>
      </c>
      <c r="G82" s="9" t="s">
        <v>443</v>
      </c>
      <c r="H82" s="9" t="s">
        <v>444</v>
      </c>
      <c r="I82" s="9" t="s">
        <v>440</v>
      </c>
      <c r="J82" s="7"/>
    </row>
    <row r="83" customFormat="false" ht="35.05" hidden="false" customHeight="false" outlineLevel="0" collapsed="false">
      <c r="A83" s="7" t="s">
        <v>445</v>
      </c>
      <c r="B83" s="12" t="s">
        <v>389</v>
      </c>
      <c r="C83" s="7" t="s">
        <v>21</v>
      </c>
      <c r="D83" s="7" t="s">
        <v>102</v>
      </c>
      <c r="E83" s="7" t="s">
        <v>15</v>
      </c>
      <c r="F83" s="9" t="s">
        <v>446</v>
      </c>
      <c r="G83" s="9" t="s">
        <v>447</v>
      </c>
      <c r="H83" s="9" t="s">
        <v>448</v>
      </c>
      <c r="I83" s="9" t="s">
        <v>112</v>
      </c>
      <c r="J83" s="7" t="n">
        <v>312</v>
      </c>
    </row>
    <row r="84" customFormat="false" ht="15" hidden="false" customHeight="false" outlineLevel="0" collapsed="false">
      <c r="A84" s="7" t="s">
        <v>449</v>
      </c>
      <c r="B84" s="12" t="s">
        <v>389</v>
      </c>
      <c r="C84" s="7" t="s">
        <v>21</v>
      </c>
      <c r="D84" s="7" t="s">
        <v>212</v>
      </c>
      <c r="E84" s="7" t="s">
        <v>15</v>
      </c>
      <c r="F84" s="9" t="s">
        <v>450</v>
      </c>
      <c r="G84" s="9" t="s">
        <v>451</v>
      </c>
      <c r="H84" s="9" t="s">
        <v>452</v>
      </c>
      <c r="I84" s="9" t="s">
        <v>67</v>
      </c>
      <c r="J84" s="7" t="n">
        <v>7</v>
      </c>
    </row>
    <row r="85" customFormat="false" ht="35.05" hidden="false" customHeight="false" outlineLevel="0" collapsed="false">
      <c r="A85" s="7" t="s">
        <v>453</v>
      </c>
      <c r="B85" s="12" t="s">
        <v>389</v>
      </c>
      <c r="C85" s="7" t="s">
        <v>21</v>
      </c>
      <c r="D85" s="7" t="s">
        <v>108</v>
      </c>
      <c r="E85" s="7" t="s">
        <v>15</v>
      </c>
      <c r="F85" s="9" t="s">
        <v>454</v>
      </c>
      <c r="G85" s="9" t="s">
        <v>455</v>
      </c>
      <c r="H85" s="9" t="s">
        <v>456</v>
      </c>
      <c r="I85" s="9" t="s">
        <v>293</v>
      </c>
      <c r="J85" s="7" t="n">
        <v>762</v>
      </c>
    </row>
    <row r="86" customFormat="false" ht="35.05" hidden="false" customHeight="false" outlineLevel="0" collapsed="false">
      <c r="A86" s="7" t="s">
        <v>457</v>
      </c>
      <c r="B86" s="12" t="s">
        <v>389</v>
      </c>
      <c r="C86" s="7" t="s">
        <v>458</v>
      </c>
      <c r="D86" s="7" t="s">
        <v>80</v>
      </c>
      <c r="E86" s="7" t="s">
        <v>11</v>
      </c>
      <c r="F86" s="9" t="s">
        <v>459</v>
      </c>
      <c r="G86" s="9" t="s">
        <v>460</v>
      </c>
      <c r="H86" s="9" t="s">
        <v>461</v>
      </c>
      <c r="I86" s="9" t="s">
        <v>462</v>
      </c>
      <c r="J86" s="7" t="n">
        <v>57</v>
      </c>
    </row>
    <row r="87" customFormat="false" ht="23.85" hidden="false" customHeight="false" outlineLevel="0" collapsed="false">
      <c r="A87" s="7" t="s">
        <v>463</v>
      </c>
      <c r="B87" s="12" t="s">
        <v>389</v>
      </c>
      <c r="C87" s="7" t="s">
        <v>130</v>
      </c>
      <c r="D87" s="7" t="s">
        <v>102</v>
      </c>
      <c r="E87" s="7" t="s">
        <v>11</v>
      </c>
      <c r="F87" s="9" t="s">
        <v>464</v>
      </c>
      <c r="G87" s="9" t="s">
        <v>465</v>
      </c>
      <c r="H87" s="9" t="s">
        <v>466</v>
      </c>
      <c r="I87" s="9" t="s">
        <v>135</v>
      </c>
      <c r="J87" s="7" t="n">
        <v>33</v>
      </c>
    </row>
    <row r="88" customFormat="false" ht="35.05" hidden="false" customHeight="false" outlineLevel="0" collapsed="false">
      <c r="A88" s="7" t="s">
        <v>467</v>
      </c>
      <c r="B88" s="12" t="s">
        <v>389</v>
      </c>
      <c r="C88" s="7" t="s">
        <v>130</v>
      </c>
      <c r="D88" s="7" t="s">
        <v>245</v>
      </c>
      <c r="E88" s="7" t="s">
        <v>11</v>
      </c>
      <c r="F88" s="9" t="s">
        <v>468</v>
      </c>
      <c r="G88" s="9" t="s">
        <v>469</v>
      </c>
      <c r="H88" s="9" t="s">
        <v>470</v>
      </c>
      <c r="I88" s="9" t="s">
        <v>316</v>
      </c>
      <c r="J88" s="7" t="n">
        <v>56</v>
      </c>
    </row>
    <row r="89" customFormat="false" ht="35.05" hidden="false" customHeight="false" outlineLevel="0" collapsed="false">
      <c r="A89" s="7" t="s">
        <v>471</v>
      </c>
      <c r="B89" s="12" t="s">
        <v>389</v>
      </c>
      <c r="C89" s="7" t="s">
        <v>130</v>
      </c>
      <c r="D89" s="7" t="s">
        <v>102</v>
      </c>
      <c r="E89" s="7" t="s">
        <v>11</v>
      </c>
      <c r="F89" s="9" t="s">
        <v>472</v>
      </c>
      <c r="G89" s="9" t="s">
        <v>473</v>
      </c>
      <c r="H89" s="9" t="s">
        <v>474</v>
      </c>
      <c r="I89" s="9" t="s">
        <v>135</v>
      </c>
      <c r="J89" s="7" t="n">
        <v>102</v>
      </c>
    </row>
    <row r="90" customFormat="false" ht="35.05" hidden="false" customHeight="false" outlineLevel="0" collapsed="false">
      <c r="A90" s="7" t="s">
        <v>475</v>
      </c>
      <c r="B90" s="12" t="s">
        <v>389</v>
      </c>
      <c r="C90" s="7" t="s">
        <v>130</v>
      </c>
      <c r="D90" s="7" t="s">
        <v>245</v>
      </c>
      <c r="E90" s="7" t="s">
        <v>15</v>
      </c>
      <c r="F90" s="9" t="s">
        <v>476</v>
      </c>
      <c r="G90" s="9" t="s">
        <v>477</v>
      </c>
      <c r="H90" s="9" t="s">
        <v>478</v>
      </c>
      <c r="I90" s="9" t="s">
        <v>316</v>
      </c>
      <c r="J90" s="7" t="n">
        <v>197</v>
      </c>
    </row>
    <row r="91" customFormat="false" ht="23.85" hidden="false" customHeight="false" outlineLevel="0" collapsed="false">
      <c r="A91" s="7" t="s">
        <v>479</v>
      </c>
      <c r="B91" s="12" t="s">
        <v>389</v>
      </c>
      <c r="C91" s="7" t="s">
        <v>130</v>
      </c>
      <c r="D91" s="7" t="s">
        <v>102</v>
      </c>
      <c r="E91" s="7" t="s">
        <v>15</v>
      </c>
      <c r="F91" s="9" t="s">
        <v>480</v>
      </c>
      <c r="G91" s="9" t="s">
        <v>481</v>
      </c>
      <c r="H91" s="9" t="s">
        <v>482</v>
      </c>
      <c r="I91" s="9" t="s">
        <v>316</v>
      </c>
      <c r="J91" s="7" t="n">
        <v>56</v>
      </c>
    </row>
    <row r="92" customFormat="false" ht="35.05" hidden="false" customHeight="false" outlineLevel="0" collapsed="false">
      <c r="A92" s="7" t="s">
        <v>483</v>
      </c>
      <c r="B92" s="12" t="s">
        <v>389</v>
      </c>
      <c r="C92" s="7" t="s">
        <v>130</v>
      </c>
      <c r="D92" s="7" t="s">
        <v>245</v>
      </c>
      <c r="E92" s="7" t="s">
        <v>15</v>
      </c>
      <c r="F92" s="9" t="s">
        <v>484</v>
      </c>
      <c r="G92" s="9" t="s">
        <v>485</v>
      </c>
      <c r="H92" s="9" t="s">
        <v>486</v>
      </c>
      <c r="I92" s="9" t="s">
        <v>316</v>
      </c>
      <c r="J92" s="7" t="n">
        <v>144</v>
      </c>
    </row>
    <row r="93" customFormat="false" ht="35.05" hidden="false" customHeight="false" outlineLevel="0" collapsed="false">
      <c r="A93" s="7" t="s">
        <v>487</v>
      </c>
      <c r="B93" s="12" t="s">
        <v>389</v>
      </c>
      <c r="C93" s="7" t="s">
        <v>318</v>
      </c>
      <c r="D93" s="7" t="s">
        <v>80</v>
      </c>
      <c r="E93" s="7" t="s">
        <v>11</v>
      </c>
      <c r="F93" s="9" t="s">
        <v>488</v>
      </c>
      <c r="G93" s="9" t="s">
        <v>489</v>
      </c>
      <c r="H93" s="9" t="s">
        <v>490</v>
      </c>
      <c r="I93" s="9" t="s">
        <v>491</v>
      </c>
      <c r="J93" s="7" t="n">
        <v>37</v>
      </c>
    </row>
    <row r="94" customFormat="false" ht="35.05" hidden="false" customHeight="false" outlineLevel="0" collapsed="false">
      <c r="A94" s="7" t="s">
        <v>492</v>
      </c>
      <c r="B94" s="12" t="s">
        <v>389</v>
      </c>
      <c r="C94" s="7" t="s">
        <v>318</v>
      </c>
      <c r="D94" s="7" t="s">
        <v>80</v>
      </c>
      <c r="E94" s="7" t="s">
        <v>11</v>
      </c>
      <c r="F94" s="9" t="s">
        <v>493</v>
      </c>
      <c r="G94" s="9" t="s">
        <v>494</v>
      </c>
      <c r="H94" s="9" t="s">
        <v>495</v>
      </c>
      <c r="I94" s="9" t="s">
        <v>496</v>
      </c>
      <c r="J94" s="7" t="n">
        <v>26</v>
      </c>
    </row>
    <row r="95" customFormat="false" ht="35.05" hidden="false" customHeight="false" outlineLevel="0" collapsed="false">
      <c r="A95" s="7" t="s">
        <v>497</v>
      </c>
      <c r="B95" s="12" t="s">
        <v>389</v>
      </c>
      <c r="C95" s="7" t="s">
        <v>27</v>
      </c>
      <c r="D95" s="7" t="s">
        <v>212</v>
      </c>
      <c r="E95" s="7" t="s">
        <v>15</v>
      </c>
      <c r="F95" s="9" t="s">
        <v>498</v>
      </c>
      <c r="G95" s="9" t="s">
        <v>499</v>
      </c>
      <c r="H95" s="9" t="s">
        <v>500</v>
      </c>
      <c r="I95" s="9" t="s">
        <v>159</v>
      </c>
      <c r="J95" s="7" t="n">
        <v>91</v>
      </c>
    </row>
    <row r="96" customFormat="false" ht="35.05" hidden="false" customHeight="false" outlineLevel="0" collapsed="false">
      <c r="A96" s="7" t="s">
        <v>501</v>
      </c>
      <c r="B96" s="12" t="s">
        <v>389</v>
      </c>
      <c r="C96" s="7" t="s">
        <v>28</v>
      </c>
      <c r="D96" s="7" t="s">
        <v>245</v>
      </c>
      <c r="E96" s="7" t="s">
        <v>15</v>
      </c>
      <c r="F96" s="9" t="s">
        <v>502</v>
      </c>
      <c r="G96" s="9" t="s">
        <v>503</v>
      </c>
      <c r="H96" s="9" t="s">
        <v>504</v>
      </c>
      <c r="I96" s="9" t="s">
        <v>335</v>
      </c>
      <c r="J96" s="7" t="n">
        <v>522</v>
      </c>
    </row>
    <row r="97" customFormat="false" ht="35.05" hidden="false" customHeight="false" outlineLevel="0" collapsed="false">
      <c r="A97" s="7" t="s">
        <v>505</v>
      </c>
      <c r="B97" s="12" t="s">
        <v>389</v>
      </c>
      <c r="C97" s="7" t="s">
        <v>28</v>
      </c>
      <c r="D97" s="7" t="s">
        <v>245</v>
      </c>
      <c r="E97" s="7" t="s">
        <v>15</v>
      </c>
      <c r="F97" s="9" t="s">
        <v>506</v>
      </c>
      <c r="G97" s="9" t="s">
        <v>507</v>
      </c>
      <c r="H97" s="9" t="s">
        <v>508</v>
      </c>
      <c r="I97" s="9" t="s">
        <v>335</v>
      </c>
      <c r="J97" s="7" t="n">
        <v>411</v>
      </c>
    </row>
    <row r="98" customFormat="false" ht="35.05" hidden="false" customHeight="false" outlineLevel="0" collapsed="false">
      <c r="A98" s="7" t="s">
        <v>509</v>
      </c>
      <c r="B98" s="12" t="s">
        <v>389</v>
      </c>
      <c r="C98" s="7" t="s">
        <v>28</v>
      </c>
      <c r="D98" s="7" t="s">
        <v>221</v>
      </c>
      <c r="E98" s="7" t="s">
        <v>15</v>
      </c>
      <c r="F98" s="9" t="s">
        <v>510</v>
      </c>
      <c r="G98" s="9" t="s">
        <v>511</v>
      </c>
      <c r="H98" s="9" t="s">
        <v>512</v>
      </c>
      <c r="I98" s="9" t="s">
        <v>335</v>
      </c>
      <c r="J98" s="7" t="n">
        <v>145</v>
      </c>
    </row>
    <row r="99" customFormat="false" ht="35.05" hidden="false" customHeight="false" outlineLevel="0" collapsed="false">
      <c r="A99" s="7" t="s">
        <v>513</v>
      </c>
      <c r="B99" s="12" t="s">
        <v>389</v>
      </c>
      <c r="C99" s="7" t="s">
        <v>31</v>
      </c>
      <c r="D99" s="7" t="s">
        <v>102</v>
      </c>
      <c r="E99" s="7" t="s">
        <v>11</v>
      </c>
      <c r="F99" s="9" t="s">
        <v>514</v>
      </c>
      <c r="G99" s="9" t="s">
        <v>515</v>
      </c>
      <c r="H99" s="9" t="s">
        <v>516</v>
      </c>
      <c r="I99" s="9" t="s">
        <v>517</v>
      </c>
      <c r="J99" s="7" t="n">
        <v>86</v>
      </c>
    </row>
    <row r="100" customFormat="false" ht="46.25" hidden="false" customHeight="false" outlineLevel="0" collapsed="false">
      <c r="A100" s="7" t="s">
        <v>518</v>
      </c>
      <c r="B100" s="12" t="s">
        <v>389</v>
      </c>
      <c r="C100" s="7" t="s">
        <v>31</v>
      </c>
      <c r="D100" s="7" t="s">
        <v>212</v>
      </c>
      <c r="E100" s="7" t="s">
        <v>13</v>
      </c>
      <c r="F100" s="9" t="s">
        <v>519</v>
      </c>
      <c r="G100" s="9" t="s">
        <v>520</v>
      </c>
      <c r="H100" s="9" t="s">
        <v>521</v>
      </c>
      <c r="I100" s="9" t="s">
        <v>421</v>
      </c>
      <c r="J100" s="7"/>
    </row>
  </sheetData>
  <autoFilter ref="A1:J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2026-05-03T04:47:53Z</dcterms:created>
  <dc:creator>openpyxl</dc:creator>
  <dc:description/>
  <dc:language>en-US</dc:language>
  <cp:lastModifiedBy/>
  <dcterms:modified xsi:type="dcterms:W3CDTF">2026-05-03T04:47:53Z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